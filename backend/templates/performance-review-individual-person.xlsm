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r:revisionPtr revIDLastSave="0" documentId="13_ncr:1_{820310BA-11E3-4EBD-AFB0-D18C1A739EAB}" xr6:coauthVersionLast="47" xr6:coauthVersionMax="47" xr10:uidLastSave="{00000000-0000-0000-0000-000000000000}"/>
  <bookViews>
    <workbookView xWindow="-120" yWindow="-120" windowWidth="20730" windowHeight="11040" activeTab="1" xr2:uid="{F86611DD-8441-4532-B22A-86D695698B99}"/>
  </bookViews>
  <sheets>
    <sheet name="NOTES" sheetId="3" r:id="rId1"/>
    <sheet name="PR - Final" sheetId="2" r:id="rId2"/>
  </sheets>
  <definedNames>
    <definedName name="_xlnm.Print_Area" localSheetId="1">'PR - Final'!$A$1:$F$40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3" i="2" l="1"/>
  <c r="D14" i="2"/>
  <c r="D15" i="2"/>
  <c r="AY6" i="2"/>
  <c r="AY17" i="2"/>
  <c r="AY16" i="2"/>
  <c r="AZ16" i="2" s="1"/>
  <c r="AY7" i="2"/>
  <c r="BF24" i="2"/>
  <c r="BE26" i="2" s="1"/>
  <c r="D30" i="2" s="1"/>
  <c r="AU43" i="2"/>
  <c r="AU42" i="2" s="1"/>
  <c r="AU41" i="2" s="1"/>
  <c r="AU40" i="2" s="1"/>
  <c r="E29" i="2" s="1"/>
  <c r="AZ33" i="2"/>
  <c r="AZ32" i="2"/>
  <c r="BB31" i="2"/>
  <c r="BA31" i="2" s="1"/>
  <c r="F25" i="2" s="1"/>
  <c r="AZ31" i="2"/>
  <c r="BB30" i="2"/>
  <c r="BA30" i="2" s="1"/>
  <c r="B30" i="2" s="1"/>
  <c r="AZ30" i="2"/>
  <c r="AY28" i="2"/>
  <c r="AZ28" i="2" s="1"/>
  <c r="AY27" i="2"/>
  <c r="AZ27" i="2" s="1"/>
  <c r="AY25" i="2"/>
  <c r="AZ25" i="2" s="1"/>
  <c r="AY24" i="2"/>
  <c r="BA23" i="2"/>
  <c r="BA22" i="2"/>
  <c r="BA21" i="2"/>
  <c r="BA20" i="2"/>
  <c r="D13" i="2"/>
  <c r="AW9" i="2" s="1"/>
  <c r="D12" i="2"/>
  <c r="AX48" i="2" s="1"/>
  <c r="D11" i="2"/>
  <c r="AW7" i="2" s="1"/>
  <c r="AX10" i="2"/>
  <c r="AW10" i="2"/>
  <c r="D10" i="2"/>
  <c r="AX46" i="2" s="1"/>
  <c r="D9" i="2"/>
  <c r="AW5" i="2" s="1"/>
  <c r="AX8" i="2"/>
  <c r="D8" i="2"/>
  <c r="AX44" i="2" s="1"/>
  <c r="AX7" i="2"/>
  <c r="D7" i="2"/>
  <c r="AX43" i="2" s="1"/>
  <c r="AX6" i="2"/>
  <c r="D6" i="2"/>
  <c r="AW2" i="2" s="1"/>
  <c r="AY5" i="2"/>
  <c r="AX5" i="2"/>
  <c r="D5" i="2"/>
  <c r="AX41" i="2" s="1"/>
  <c r="AY4" i="2"/>
  <c r="AX4" i="2"/>
  <c r="AY3" i="2"/>
  <c r="AX3" i="2"/>
  <c r="AY2" i="2"/>
  <c r="AX2" i="2"/>
  <c r="AY1" i="2"/>
  <c r="AX1" i="2"/>
  <c r="AX18" i="2" l="1"/>
  <c r="F20" i="2" s="1"/>
  <c r="AZ17" i="2"/>
  <c r="BE24" i="2"/>
  <c r="AZ34" i="2"/>
  <c r="D21" i="2" s="1"/>
  <c r="AX26" i="2"/>
  <c r="B26" i="2" s="1"/>
  <c r="AW3" i="2"/>
  <c r="B21" i="2"/>
  <c r="AW8" i="2"/>
  <c r="AW6" i="2"/>
  <c r="AZ24" i="2"/>
  <c r="AX32" i="2"/>
  <c r="AX29" i="2"/>
  <c r="D26" i="2" s="1"/>
  <c r="AW1" i="2"/>
  <c r="AX45" i="2"/>
  <c r="AX42" i="2"/>
  <c r="AX47" i="2"/>
  <c r="AW4" i="2"/>
  <c r="B36" i="2" l="1"/>
  <c r="AX38" i="2" l="1"/>
  <c r="AX36" i="2"/>
  <c r="AX34" i="2"/>
  <c r="AX33" i="2" s="1"/>
  <c r="F36" i="2" s="1"/>
</calcChain>
</file>

<file path=xl/sharedStrings.xml><?xml version="1.0" encoding="utf-8"?>
<sst xmlns="http://schemas.openxmlformats.org/spreadsheetml/2006/main" count="79" uniqueCount="79">
  <si>
    <t>Division</t>
  </si>
  <si>
    <t>Justification for delay</t>
  </si>
  <si>
    <t>Corrective measure for Hindrance</t>
  </si>
  <si>
    <t>Target Percentage</t>
  </si>
  <si>
    <t xml:space="preserve">Prev Month </t>
  </si>
  <si>
    <t>IW/CAMC/STOCK - PCB, Sub units, Units &amp; Spares</t>
  </si>
  <si>
    <t xml:space="preserve">IW/CAMC/Stock - All consumables </t>
  </si>
  <si>
    <t>OB/LAMC</t>
  </si>
  <si>
    <t>PRF</t>
  </si>
  <si>
    <t>Non-Saleable</t>
  </si>
  <si>
    <t>Under Repair except warrenty spares</t>
  </si>
  <si>
    <t>BIR</t>
  </si>
  <si>
    <t>NA</t>
  </si>
  <si>
    <t>Overall performance percentage</t>
  </si>
  <si>
    <t>Next Month</t>
  </si>
  <si>
    <t>PERFORMANCE REVIEW</t>
  </si>
  <si>
    <t>Overall Grade</t>
  </si>
  <si>
    <t>HOD REMARKS</t>
  </si>
  <si>
    <t>5s Rate</t>
  </si>
  <si>
    <t>No of Executions within target date</t>
  </si>
  <si>
    <t>Percentage of Executions out from  target date</t>
  </si>
  <si>
    <t>Pending activity on Monday</t>
  </si>
  <si>
    <t>Activity</t>
  </si>
  <si>
    <r>
      <t xml:space="preserve">Total inward 
</t>
    </r>
    <r>
      <rPr>
        <sz val="12"/>
        <color rgb="FFC00000"/>
        <rFont val="Calibri"/>
        <family val="2"/>
        <scheme val="minor"/>
      </rPr>
      <t>(</t>
    </r>
    <r>
      <rPr>
        <i/>
        <sz val="12"/>
        <color rgb="FFC00000"/>
        <rFont val="Calibri"/>
        <family val="2"/>
        <scheme val="minor"/>
      </rPr>
      <t>If not applicable mark zero)</t>
    </r>
  </si>
  <si>
    <r>
      <t xml:space="preserve">Non-Saleable
</t>
    </r>
    <r>
      <rPr>
        <sz val="12"/>
        <color rgb="FFC00000"/>
        <rFont val="Calibri"/>
        <family val="2"/>
        <scheme val="minor"/>
      </rPr>
      <t>If not applicable mark NA</t>
    </r>
  </si>
  <si>
    <r>
      <t xml:space="preserve">Critical Pending report
</t>
    </r>
    <r>
      <rPr>
        <sz val="12"/>
        <color rgb="FFC00000"/>
        <rFont val="Calibri"/>
        <family val="2"/>
        <scheme val="minor"/>
      </rPr>
      <t>If not applicable mark NA</t>
    </r>
  </si>
  <si>
    <r>
      <t xml:space="preserve">Supplier Warranty transaction
</t>
    </r>
    <r>
      <rPr>
        <sz val="12"/>
        <color rgb="FFC00000"/>
        <rFont val="Calibri"/>
        <family val="2"/>
        <scheme val="minor"/>
      </rPr>
      <t>If not applicable mark NA</t>
    </r>
  </si>
  <si>
    <t>NOTE:</t>
  </si>
  <si>
    <t xml:space="preserve">HOD of service centre should do the review with the divisional head before 7th of every Month </t>
  </si>
  <si>
    <t>To fill the Table in the form, follow the below instructions</t>
  </si>
  <si>
    <t>COLUMNS</t>
  </si>
  <si>
    <t>ROWS</t>
  </si>
  <si>
    <r>
      <rPr>
        <b/>
        <sz val="11"/>
        <color theme="1"/>
        <rFont val="Calibri"/>
        <family val="2"/>
        <scheme val="minor"/>
      </rPr>
      <t xml:space="preserve">     *IW/CAMC/STOCK - </t>
    </r>
    <r>
      <rPr>
        <sz val="11"/>
        <color theme="1"/>
        <rFont val="Calibri"/>
        <family val="2"/>
        <scheme val="minor"/>
      </rPr>
      <t xml:space="preserve"> includes only PCB, Sub units, Units &amp; Spares</t>
    </r>
  </si>
  <si>
    <r>
      <rPr>
        <b/>
        <sz val="11"/>
        <color theme="1"/>
        <rFont val="Calibri"/>
        <family val="2"/>
        <scheme val="minor"/>
      </rPr>
      <t xml:space="preserve">     *IW/CAMC/STOCK -</t>
    </r>
    <r>
      <rPr>
        <sz val="11"/>
        <color theme="1"/>
        <rFont val="Calibri"/>
        <family val="2"/>
        <scheme val="minor"/>
      </rPr>
      <t xml:space="preserve"> All consumables</t>
    </r>
  </si>
  <si>
    <t>Performance review should be reviewed by the division head with their team on or before 5th of every Month</t>
  </si>
  <si>
    <t xml:space="preserve">     *Total Inward- Total number of inwards received through out the month</t>
  </si>
  <si>
    <t xml:space="preserve">     *No of Executions within target date according to SVC process</t>
  </si>
  <si>
    <r>
      <rPr>
        <b/>
        <sz val="11"/>
        <color theme="1"/>
        <rFont val="Calibri"/>
        <family val="2"/>
        <scheme val="minor"/>
      </rPr>
      <t xml:space="preserve">     *Non-Saleable </t>
    </r>
    <r>
      <rPr>
        <sz val="11"/>
        <color theme="1"/>
        <rFont val="Calibri"/>
        <family val="2"/>
        <scheme val="minor"/>
      </rPr>
      <t xml:space="preserve">- Time period of FQC problem reported date to FQC closed date from the SIS software . If non-saleable is not applicable, </t>
    </r>
    <r>
      <rPr>
        <b/>
        <sz val="11"/>
        <color theme="1"/>
        <rFont val="Calibri"/>
        <family val="2"/>
        <scheme val="minor"/>
      </rPr>
      <t xml:space="preserve">please enter zero at total inward.      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/r>
    <r>
      <rPr>
        <i/>
        <sz val="11"/>
        <color theme="1"/>
        <rFont val="Calibri"/>
        <family val="2"/>
        <scheme val="minor"/>
      </rPr>
      <t>Note: Should be closed within 30 days if spares not available and is it is available the it should be closed with in 5 days</t>
    </r>
  </si>
  <si>
    <r>
      <rPr>
        <b/>
        <sz val="11"/>
        <color theme="1"/>
        <rFont val="Calibri"/>
        <family val="2"/>
        <scheme val="minor"/>
      </rPr>
      <t xml:space="preserve">     *BIR </t>
    </r>
    <r>
      <rPr>
        <sz val="11"/>
        <color theme="1"/>
        <rFont val="Calibri"/>
        <family val="2"/>
        <scheme val="minor"/>
      </rPr>
      <t xml:space="preserve"> - Within 3 days after inward from FQC</t>
    </r>
  </si>
  <si>
    <r>
      <t xml:space="preserve">   </t>
    </r>
    <r>
      <rPr>
        <b/>
        <sz val="11"/>
        <color theme="1"/>
        <rFont val="Calibri"/>
        <family val="2"/>
        <scheme val="minor"/>
      </rPr>
      <t xml:space="preserve">  *Under repair</t>
    </r>
    <r>
      <rPr>
        <sz val="11"/>
        <color theme="1"/>
        <rFont val="Calibri"/>
        <family val="2"/>
        <scheme val="minor"/>
      </rPr>
      <t xml:space="preserve">  - From the date of receipt from service centre to repair board stock date                                                                     
</t>
    </r>
    <r>
      <rPr>
        <i/>
        <sz val="11"/>
        <color theme="1"/>
        <rFont val="Calibri"/>
        <family val="2"/>
        <scheme val="minor"/>
      </rPr>
      <t>Note: Under repair  - within 10 days  from service centre inward or the date which moved to under repair. I.e. Replacement ship date from service centre</t>
    </r>
  </si>
  <si>
    <t xml:space="preserve">For the month of       </t>
  </si>
  <si>
    <r>
      <t xml:space="preserve">Purchase indent request to commercial
</t>
    </r>
    <r>
      <rPr>
        <sz val="12"/>
        <color rgb="FFC00000"/>
        <rFont val="Calibri"/>
        <family val="2"/>
        <scheme val="minor"/>
      </rPr>
      <t>If not applicable mark NA</t>
    </r>
  </si>
  <si>
    <r>
      <t xml:space="preserve">Quarterly Buy Back &amp; Standby unit review 
</t>
    </r>
    <r>
      <rPr>
        <sz val="12"/>
        <color rgb="FFC00000"/>
        <rFont val="Calibri"/>
        <family val="2"/>
        <scheme val="minor"/>
      </rPr>
      <t>If not applicable mark NA</t>
    </r>
  </si>
  <si>
    <t>Repair Report</t>
  </si>
  <si>
    <t>This performance review form is applicable for individual division</t>
  </si>
  <si>
    <t xml:space="preserve">     *Target Percentage- Target percentage for the previous month and the promised percentage of next month</t>
  </si>
  <si>
    <r>
      <rPr>
        <b/>
        <sz val="11"/>
        <color theme="1"/>
        <rFont val="Calibri"/>
        <family val="2"/>
        <scheme val="minor"/>
      </rPr>
      <t xml:space="preserve">     *PRF - </t>
    </r>
    <r>
      <rPr>
        <sz val="11"/>
        <color theme="1"/>
        <rFont val="Calibri"/>
        <family val="2"/>
        <scheme val="minor"/>
      </rPr>
      <t xml:space="preserve"> Time period of spares received date to executed date from service centre - </t>
    </r>
    <r>
      <rPr>
        <b/>
        <sz val="11"/>
        <color theme="1"/>
        <rFont val="Calibri"/>
        <family val="2"/>
        <scheme val="minor"/>
      </rPr>
      <t xml:space="preserve">Note: </t>
    </r>
    <r>
      <rPr>
        <sz val="11"/>
        <color theme="1"/>
        <rFont val="Calibri"/>
        <family val="2"/>
        <scheme val="minor"/>
      </rPr>
      <t>Target time is 24hrs</t>
    </r>
  </si>
  <si>
    <t>No. of Warranty Board received &amp; given for re-export</t>
  </si>
  <si>
    <t>No of Estimation given for out of warranty.</t>
  </si>
  <si>
    <r>
      <t xml:space="preserve">    *No of estimation given for out of warranty - </t>
    </r>
    <r>
      <rPr>
        <sz val="11"/>
        <color theme="1"/>
        <rFont val="Calibri"/>
        <family val="2"/>
        <scheme val="minor"/>
      </rPr>
      <t xml:space="preserve">Estimation should be given to engineer within 3 days from the date of receipt in service centre and for Holter, it is 5 days. </t>
    </r>
  </si>
  <si>
    <t>Weekly CRM Reports</t>
  </si>
  <si>
    <r>
      <t xml:space="preserve">Supplier pending issue review
</t>
    </r>
    <r>
      <rPr>
        <sz val="12"/>
        <color rgb="FFC00000"/>
        <rFont val="Calibri"/>
        <family val="2"/>
        <scheme val="minor"/>
      </rPr>
      <t>If not applicable mark NA</t>
    </r>
  </si>
  <si>
    <t>If not applicable select NA.</t>
  </si>
  <si>
    <t xml:space="preserve">You can drop the values at the respective cells and rest of the cells are protected. </t>
  </si>
  <si>
    <r>
      <t xml:space="preserve">     *No of warranty board received and given for  re-export - </t>
    </r>
    <r>
      <rPr>
        <sz val="11"/>
        <color theme="1"/>
        <rFont val="Calibri"/>
        <family val="2"/>
        <scheme val="minor"/>
      </rPr>
      <t xml:space="preserve">Within 5 days of receipt from service centre, it has to be handed over to Re-export team/commercial. </t>
    </r>
  </si>
  <si>
    <t xml:space="preserve">If the reports are not submitted on the specified date, it will not be considered. </t>
  </si>
  <si>
    <t xml:space="preserve">Division In charge should fill this report by including all the products handled under their division. </t>
  </si>
  <si>
    <t xml:space="preserve">     *Percentage of Executions from target date will be calculated automatically</t>
  </si>
  <si>
    <t xml:space="preserve">     *For above rows the Target time should be calculated from Service centre received date to ship date from Service centre.   
Note: Target time for all IW/CAMC/STOCK for PCBs, Sub units, Units &amp; Spares is 3 days and for consumables, it is 2 days. </t>
  </si>
  <si>
    <r>
      <rPr>
        <b/>
        <sz val="11"/>
        <color theme="1"/>
        <rFont val="Calibri"/>
        <family val="2"/>
        <scheme val="minor"/>
      </rPr>
      <t xml:space="preserve">     *OB/LAMC -</t>
    </r>
    <r>
      <rPr>
        <sz val="11"/>
        <color theme="1"/>
        <rFont val="Calibri"/>
        <family val="2"/>
        <scheme val="minor"/>
      </rPr>
      <t xml:space="preserve"> Time period of OB received date to executed date from service centre - </t>
    </r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Target time is 3 days</t>
    </r>
  </si>
  <si>
    <r>
      <rPr>
        <b/>
        <sz val="11"/>
        <color theme="1"/>
        <rFont val="Calibri"/>
        <family val="2"/>
        <scheme val="minor"/>
      </rPr>
      <t xml:space="preserve">    *Weekly CRM reports</t>
    </r>
    <r>
      <rPr>
        <sz val="11"/>
        <color theme="1"/>
        <rFont val="Calibri"/>
        <family val="2"/>
        <scheme val="minor"/>
      </rPr>
      <t xml:space="preserve"> - Every week Tuesday open call report with Division in charge remarks to be submitted to HOD. </t>
    </r>
  </si>
  <si>
    <r>
      <rPr>
        <b/>
        <sz val="11"/>
        <color theme="1"/>
        <rFont val="Calibri"/>
        <family val="2"/>
        <scheme val="minor"/>
      </rPr>
      <t xml:space="preserve">    *Pending activity review report</t>
    </r>
    <r>
      <rPr>
        <sz val="11"/>
        <color theme="1"/>
        <rFont val="Calibri"/>
        <family val="2"/>
        <scheme val="minor"/>
      </rPr>
      <t xml:space="preserve"> - should be submitted with all pending's on every Monday. </t>
    </r>
  </si>
  <si>
    <r>
      <rPr>
        <b/>
        <sz val="11"/>
        <color theme="1"/>
        <rFont val="Calibri"/>
        <family val="2"/>
        <scheme val="minor"/>
      </rPr>
      <t xml:space="preserve">    *Non sellable report</t>
    </r>
    <r>
      <rPr>
        <sz val="11"/>
        <color theme="1"/>
        <rFont val="Calibri"/>
        <family val="2"/>
        <scheme val="minor"/>
      </rPr>
      <t xml:space="preserve"> - should be submitted on 1 &amp; 15th of every Month. </t>
    </r>
  </si>
  <si>
    <r>
      <rPr>
        <b/>
        <sz val="11"/>
        <color theme="1"/>
        <rFont val="Calibri"/>
        <family val="2"/>
        <scheme val="minor"/>
      </rPr>
      <t xml:space="preserve">    *Spares warranty transaction </t>
    </r>
    <r>
      <rPr>
        <sz val="11"/>
        <color theme="1"/>
        <rFont val="Calibri"/>
        <family val="2"/>
        <scheme val="minor"/>
      </rPr>
      <t xml:space="preserve">- spares transaction to be reviewed and sent to division in charge and HOD on every month 1st &amp; 15th. If not applicable select </t>
    </r>
    <r>
      <rPr>
        <b/>
        <sz val="11"/>
        <color theme="1"/>
        <rFont val="Calibri"/>
        <family val="2"/>
        <scheme val="minor"/>
      </rPr>
      <t>NA</t>
    </r>
    <r>
      <rPr>
        <sz val="11"/>
        <color theme="1"/>
        <rFont val="Calibri"/>
        <family val="2"/>
        <scheme val="minor"/>
      </rPr>
      <t>.</t>
    </r>
  </si>
  <si>
    <r>
      <rPr>
        <b/>
        <sz val="11"/>
        <color theme="1"/>
        <rFont val="Calibri"/>
        <family val="2"/>
        <scheme val="minor"/>
      </rPr>
      <t xml:space="preserve">    *Supplier pending issue review </t>
    </r>
    <r>
      <rPr>
        <sz val="11"/>
        <color theme="1"/>
        <rFont val="Calibri"/>
        <family val="2"/>
        <scheme val="minor"/>
      </rPr>
      <t xml:space="preserve">- Pending issues/critical pending to be reviewed with division head and same has to be sent to HOD on every month on or before 1st &amp; 15th. </t>
    </r>
  </si>
  <si>
    <r>
      <rPr>
        <b/>
        <sz val="11"/>
        <color theme="1"/>
        <rFont val="Calibri"/>
        <family val="2"/>
        <scheme val="minor"/>
      </rPr>
      <t xml:space="preserve">    *Critical problem report - </t>
    </r>
    <r>
      <rPr>
        <sz val="11"/>
        <color theme="1"/>
        <rFont val="Calibri"/>
        <family val="2"/>
        <scheme val="minor"/>
      </rPr>
      <t xml:space="preserve">By last date of every Month the report should be submitted to HOD. </t>
    </r>
  </si>
  <si>
    <r>
      <rPr>
        <b/>
        <sz val="11"/>
        <color theme="1"/>
        <rFont val="Calibri"/>
        <family val="2"/>
        <scheme val="minor"/>
      </rPr>
      <t xml:space="preserve">    *Purchase indent request to commercial - </t>
    </r>
    <r>
      <rPr>
        <sz val="11"/>
        <color theme="1"/>
        <rFont val="Calibri"/>
        <family val="2"/>
        <scheme val="minor"/>
      </rPr>
      <t xml:space="preserve">Every month the PI request has to be sent to commercial on or before 10th of every month. If not applicable select </t>
    </r>
    <r>
      <rPr>
        <b/>
        <sz val="11"/>
        <color theme="1"/>
        <rFont val="Calibri"/>
        <family val="2"/>
        <scheme val="minor"/>
      </rPr>
      <t>NA</t>
    </r>
    <r>
      <rPr>
        <sz val="11"/>
        <color theme="1"/>
        <rFont val="Calibri"/>
        <family val="2"/>
        <scheme val="minor"/>
      </rPr>
      <t>.</t>
    </r>
  </si>
  <si>
    <r>
      <rPr>
        <b/>
        <sz val="11"/>
        <color theme="1"/>
        <rFont val="Calibri"/>
        <family val="2"/>
        <scheme val="minor"/>
      </rPr>
      <t xml:space="preserve">   *Quarterly Buyback/Standby units review - </t>
    </r>
    <r>
      <rPr>
        <sz val="11"/>
        <color theme="1"/>
        <rFont val="Calibri"/>
        <family val="2"/>
        <scheme val="minor"/>
      </rPr>
      <t xml:space="preserve">Every quarter, all India buyback units and standby units to be reviewed and if required additional units can be planned for the service support. </t>
    </r>
  </si>
  <si>
    <r>
      <rPr>
        <b/>
        <sz val="11"/>
        <color theme="1"/>
        <rFont val="Calibri"/>
        <family val="2"/>
        <scheme val="minor"/>
      </rPr>
      <t xml:space="preserve">   *5S </t>
    </r>
    <r>
      <rPr>
        <sz val="11"/>
        <color theme="1"/>
        <rFont val="Calibri"/>
        <family val="2"/>
        <scheme val="minor"/>
      </rPr>
      <t>- Based on the internal audit, the value will be mentioned</t>
    </r>
  </si>
  <si>
    <r>
      <rPr>
        <b/>
        <sz val="11"/>
        <color theme="1"/>
        <rFont val="Calibri"/>
        <family val="2"/>
        <scheme val="minor"/>
      </rPr>
      <t xml:space="preserve">   *Repair Report</t>
    </r>
    <r>
      <rPr>
        <sz val="11"/>
        <color theme="1"/>
        <rFont val="Calibri"/>
        <family val="2"/>
        <scheme val="minor"/>
      </rPr>
      <t xml:space="preserve"> - Based on the internal audit, the percentage will be mentioned.</t>
    </r>
  </si>
  <si>
    <r>
      <rPr>
        <b/>
        <sz val="11"/>
        <color theme="1"/>
        <rFont val="Calibri"/>
        <family val="2"/>
        <scheme val="minor"/>
      </rPr>
      <t xml:space="preserve">   *Justification for delay</t>
    </r>
    <r>
      <rPr>
        <sz val="11"/>
        <color theme="1"/>
        <rFont val="Calibri"/>
        <family val="2"/>
        <scheme val="minor"/>
      </rPr>
      <t>- if 100% is not achieved</t>
    </r>
  </si>
  <si>
    <r>
      <rPr>
        <b/>
        <sz val="11"/>
        <color theme="1"/>
        <rFont val="Calibri"/>
        <family val="2"/>
        <scheme val="minor"/>
      </rPr>
      <t xml:space="preserve">   *Corrective measure for Hindrance</t>
    </r>
    <r>
      <rPr>
        <sz val="11"/>
        <color theme="1"/>
        <rFont val="Calibri"/>
        <family val="2"/>
        <scheme val="minor"/>
      </rPr>
      <t>- Corrective action plan to reduce the delay</t>
    </r>
  </si>
  <si>
    <r>
      <rPr>
        <b/>
        <sz val="11"/>
        <color theme="1"/>
        <rFont val="Calibri"/>
        <family val="2"/>
        <scheme val="minor"/>
      </rPr>
      <t>Note :</t>
    </r>
    <r>
      <rPr>
        <sz val="11"/>
        <color theme="1"/>
        <rFont val="Calibri"/>
        <family val="2"/>
        <scheme val="minor"/>
      </rPr>
      <t xml:space="preserve"> </t>
    </r>
  </si>
  <si>
    <t>Late in to Office</t>
  </si>
  <si>
    <t>Late out from Office</t>
  </si>
  <si>
    <t>No of FRN entred on the same day</t>
  </si>
  <si>
    <t xml:space="preserve">No of days calls not entered </t>
  </si>
  <si>
    <r>
      <t xml:space="preserve">Call report to be submitted to HOD
</t>
    </r>
    <r>
      <rPr>
        <sz val="12"/>
        <color rgb="FFC00000"/>
        <rFont val="Calibri"/>
        <family val="2"/>
        <scheme val="minor"/>
      </rPr>
      <t>If not applicable mark NA</t>
    </r>
  </si>
  <si>
    <t>Field visits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</si>
</sst>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 * #,##0.00_ ;_ * \-#,##0.00_ ;_ * &quot;-&quot;??_ ;_ @_ 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2"/>
      <color theme="1"/>
      <name val="Calibri"/>
      <family val="2"/>
      <scheme val="minor"/>
    </font>
    <font>
      <sz val="12"/>
      <color rgb="FFC0000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sz val="18"/>
      <color theme="3"/>
      <name val="Arial Black"/>
      <family val="2"/>
    </font>
    <font>
      <sz val="11"/>
      <color rgb="FF000000"/>
      <name val="Calibri"/>
      <family val="2"/>
    </font>
    <font>
      <i/>
      <sz val="12"/>
      <color rgb="FFC0000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9" tint="-0.499984740745262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5"/>
      </patternFill>
    </fill>
  </fills>
  <borders count="33">
    <border>
      <left/>
      <right/>
      <top/>
      <bottom/>
      <diagonal/>
    </border>
    <border>
      <left style="thin">
        <color indexed="64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106">
    <xf numFmtId="0" fontId="0" fillId="0" borderId="0" xfId="0"/>
    <xf numFmtId="0" fontId="3" fillId="7" borderId="0" xfId="0" applyFont="1" applyFill="1" applyAlignment="1">
      <alignment horizontal="center" vertical="center" wrapText="1"/>
    </xf>
    <xf numFmtId="0" fontId="3" fillId="7" borderId="0" xfId="0" applyFont="1" applyFill="1" applyAlignment="1">
      <alignment vertical="center" wrapText="1"/>
    </xf>
    <xf numFmtId="9" fontId="3" fillId="7" borderId="0" xfId="0" applyNumberFormat="1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1" fontId="3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7" borderId="0" xfId="0" applyFont="1" applyFill="1" applyAlignment="1">
      <alignment horizontal="center" vertical="center"/>
    </xf>
    <xf numFmtId="0" fontId="3" fillId="7" borderId="0" xfId="0" applyFont="1" applyFill="1" applyAlignment="1" applyProtection="1">
      <alignment vertical="center" wrapText="1"/>
      <protection hidden="1"/>
    </xf>
    <xf numFmtId="0" fontId="3" fillId="7" borderId="0" xfId="0" applyFont="1" applyFill="1" applyAlignment="1" applyProtection="1">
      <alignment vertical="center"/>
      <protection hidden="1"/>
    </xf>
    <xf numFmtId="1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vertical="center"/>
    </xf>
    <xf numFmtId="9" fontId="3" fillId="0" borderId="0" xfId="0" applyNumberFormat="1" applyFont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13" fillId="7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 wrapText="1"/>
    </xf>
    <xf numFmtId="0" fontId="6" fillId="7" borderId="0" xfId="0" applyFont="1" applyFill="1" applyAlignment="1">
      <alignment horizontal="center" vertical="center"/>
    </xf>
    <xf numFmtId="0" fontId="0" fillId="0" borderId="0" xfId="0" applyAlignment="1">
      <alignment horizontal="left" vertical="top"/>
    </xf>
    <xf numFmtId="0" fontId="16" fillId="0" borderId="4" xfId="0" applyFont="1" applyBorder="1" applyAlignment="1">
      <alignment horizontal="left" vertical="top"/>
    </xf>
    <xf numFmtId="0" fontId="0" fillId="0" borderId="4" xfId="0" applyBorder="1" applyAlignment="1">
      <alignment horizontal="left" vertical="top" wrapText="1"/>
    </xf>
    <xf numFmtId="0" fontId="0" fillId="0" borderId="4" xfId="0" applyBorder="1" applyAlignment="1">
      <alignment horizontal="left" vertical="top"/>
    </xf>
    <xf numFmtId="0" fontId="15" fillId="0" borderId="4" xfId="0" applyFont="1" applyBorder="1" applyAlignment="1">
      <alignment horizontal="left" vertical="top" wrapText="1"/>
    </xf>
    <xf numFmtId="0" fontId="16" fillId="0" borderId="4" xfId="0" applyFont="1" applyBorder="1" applyAlignment="1">
      <alignment horizontal="left" vertical="top" wrapText="1"/>
    </xf>
    <xf numFmtId="0" fontId="6" fillId="2" borderId="15" xfId="0" applyFont="1" applyFill="1" applyBorder="1" applyAlignment="1" applyProtection="1">
      <alignment horizontal="right" vertical="center" wrapText="1"/>
      <protection locked="0"/>
    </xf>
    <xf numFmtId="0" fontId="6" fillId="2" borderId="16" xfId="0" applyFont="1" applyFill="1" applyBorder="1" applyAlignment="1" applyProtection="1">
      <alignment vertical="center" wrapText="1"/>
      <protection locked="0"/>
    </xf>
    <xf numFmtId="0" fontId="6" fillId="3" borderId="4" xfId="0" applyFont="1" applyFill="1" applyBorder="1" applyAlignment="1" applyProtection="1">
      <alignment horizontal="right" vertical="center" wrapText="1"/>
      <protection locked="0"/>
    </xf>
    <xf numFmtId="0" fontId="3" fillId="3" borderId="18" xfId="0" applyFont="1" applyFill="1" applyBorder="1" applyAlignment="1" applyProtection="1">
      <alignment horizontal="center" vertical="center" wrapText="1"/>
      <protection locked="0"/>
    </xf>
    <xf numFmtId="0" fontId="6" fillId="5" borderId="4" xfId="0" applyFont="1" applyFill="1" applyBorder="1" applyAlignment="1" applyProtection="1">
      <alignment horizontal="center" vertical="center" wrapText="1"/>
      <protection locked="0"/>
    </xf>
    <xf numFmtId="0" fontId="6" fillId="3" borderId="22" xfId="0" applyFont="1" applyFill="1" applyBorder="1" applyAlignment="1" applyProtection="1">
      <alignment horizontal="center" vertical="center" wrapText="1"/>
      <protection locked="0"/>
    </xf>
    <xf numFmtId="0" fontId="6" fillId="4" borderId="23" xfId="0" applyFont="1" applyFill="1" applyBorder="1" applyAlignment="1" applyProtection="1">
      <alignment horizontal="left" vertical="center" wrapText="1"/>
      <protection locked="0"/>
    </xf>
    <xf numFmtId="0" fontId="3" fillId="2" borderId="4" xfId="0" applyFont="1" applyFill="1" applyBorder="1" applyAlignment="1" applyProtection="1">
      <alignment horizontal="center" vertical="center" wrapText="1"/>
      <protection locked="0"/>
    </xf>
    <xf numFmtId="0" fontId="3" fillId="6" borderId="4" xfId="0" applyFont="1" applyFill="1" applyBorder="1" applyAlignment="1" applyProtection="1">
      <alignment horizontal="center" vertical="center" wrapText="1"/>
      <protection locked="0"/>
    </xf>
    <xf numFmtId="9" fontId="3" fillId="2" borderId="22" xfId="0" applyNumberFormat="1" applyFont="1" applyFill="1" applyBorder="1" applyAlignment="1" applyProtection="1">
      <alignment horizontal="center" vertical="center" wrapText="1"/>
      <protection locked="0"/>
    </xf>
    <xf numFmtId="0" fontId="3" fillId="5" borderId="10" xfId="0" applyFont="1" applyFill="1" applyBorder="1" applyAlignment="1" applyProtection="1">
      <alignment horizontal="center" vertical="center"/>
      <protection locked="0"/>
    </xf>
    <xf numFmtId="0" fontId="3" fillId="5" borderId="4" xfId="0" applyFont="1" applyFill="1" applyBorder="1" applyAlignment="1" applyProtection="1">
      <alignment vertical="center" wrapText="1"/>
      <protection locked="0"/>
    </xf>
    <xf numFmtId="0" fontId="3" fillId="5" borderId="22" xfId="0" applyFont="1" applyFill="1" applyBorder="1" applyAlignment="1" applyProtection="1">
      <alignment horizontal="center" vertical="center"/>
      <protection locked="0"/>
    </xf>
    <xf numFmtId="0" fontId="3" fillId="5" borderId="1" xfId="0" applyFont="1" applyFill="1" applyBorder="1" applyAlignment="1" applyProtection="1">
      <alignment horizontal="center" vertical="center"/>
      <protection locked="0"/>
    </xf>
    <xf numFmtId="0" fontId="3" fillId="5" borderId="22" xfId="0" applyFont="1" applyFill="1" applyBorder="1" applyAlignment="1" applyProtection="1">
      <alignment vertical="center" wrapText="1"/>
      <protection locked="0"/>
    </xf>
    <xf numFmtId="0" fontId="3" fillId="5" borderId="9" xfId="0" applyFont="1" applyFill="1" applyBorder="1" applyAlignment="1" applyProtection="1">
      <alignment horizontal="center" vertical="center"/>
      <protection locked="0"/>
    </xf>
    <xf numFmtId="0" fontId="3" fillId="2" borderId="22" xfId="0" applyFont="1" applyFill="1" applyBorder="1" applyAlignment="1" applyProtection="1">
      <alignment horizontal="center" vertical="center" wrapText="1"/>
      <protection locked="0"/>
    </xf>
    <xf numFmtId="0" fontId="3" fillId="2" borderId="2" xfId="0" applyFont="1" applyFill="1" applyBorder="1" applyAlignment="1" applyProtection="1">
      <alignment horizontal="center" vertical="center"/>
      <protection locked="0"/>
    </xf>
    <xf numFmtId="0" fontId="3" fillId="2" borderId="11" xfId="0" applyFont="1" applyFill="1" applyBorder="1" applyAlignment="1" applyProtection="1">
      <alignment horizontal="center" vertical="center"/>
      <protection locked="0"/>
    </xf>
    <xf numFmtId="0" fontId="3" fillId="7" borderId="0" xfId="0" applyFont="1" applyFill="1" applyAlignment="1" applyProtection="1">
      <alignment horizontal="center" vertical="center"/>
      <protection locked="0"/>
    </xf>
    <xf numFmtId="0" fontId="3" fillId="7" borderId="26" xfId="0" applyFont="1" applyFill="1" applyBorder="1" applyAlignment="1" applyProtection="1">
      <alignment horizontal="center" vertical="center"/>
      <protection locked="0"/>
    </xf>
    <xf numFmtId="0" fontId="3" fillId="5" borderId="4" xfId="0" applyFont="1" applyFill="1" applyBorder="1" applyAlignment="1" applyProtection="1">
      <alignment horizontal="center" vertical="center"/>
      <protection locked="0"/>
    </xf>
    <xf numFmtId="0" fontId="3" fillId="5" borderId="12" xfId="0" applyFont="1" applyFill="1" applyBorder="1" applyAlignment="1" applyProtection="1">
      <alignment vertical="center" wrapText="1"/>
      <protection locked="0"/>
    </xf>
    <xf numFmtId="0" fontId="3" fillId="5" borderId="27" xfId="0" applyFont="1" applyFill="1" applyBorder="1" applyAlignment="1" applyProtection="1">
      <alignment horizontal="center" vertical="center"/>
      <protection locked="0"/>
    </xf>
    <xf numFmtId="0" fontId="3" fillId="2" borderId="22" xfId="0" applyFont="1" applyFill="1" applyBorder="1" applyAlignment="1" applyProtection="1">
      <alignment horizontal="center" vertical="center"/>
      <protection locked="0"/>
    </xf>
    <xf numFmtId="0" fontId="3" fillId="2" borderId="4" xfId="0" applyFont="1" applyFill="1" applyBorder="1" applyAlignment="1" applyProtection="1">
      <alignment horizontal="center" vertical="center"/>
      <protection locked="0"/>
    </xf>
    <xf numFmtId="0" fontId="3" fillId="5" borderId="4" xfId="0" applyFont="1" applyFill="1" applyBorder="1" applyAlignment="1" applyProtection="1">
      <alignment horizontal="center" vertical="center" wrapText="1"/>
      <protection locked="0"/>
    </xf>
    <xf numFmtId="0" fontId="6" fillId="4" borderId="6" xfId="0" applyFont="1" applyFill="1" applyBorder="1" applyAlignment="1" applyProtection="1">
      <alignment horizontal="center" vertical="center" wrapText="1"/>
      <protection locked="0"/>
    </xf>
    <xf numFmtId="0" fontId="3" fillId="5" borderId="22" xfId="0" applyFont="1" applyFill="1" applyBorder="1" applyAlignment="1" applyProtection="1">
      <alignment horizontal="center" vertical="center" wrapText="1"/>
      <protection locked="0"/>
    </xf>
    <xf numFmtId="9" fontId="3" fillId="5" borderId="22" xfId="0" applyNumberFormat="1" applyFont="1" applyFill="1" applyBorder="1" applyAlignment="1" applyProtection="1">
      <alignment horizontal="center" vertical="center"/>
      <protection locked="0"/>
    </xf>
    <xf numFmtId="0" fontId="3" fillId="7" borderId="28" xfId="0" applyFont="1" applyFill="1" applyBorder="1" applyAlignment="1" applyProtection="1">
      <alignment horizontal="center" vertical="center"/>
      <protection locked="0"/>
    </xf>
    <xf numFmtId="0" fontId="3" fillId="7" borderId="20" xfId="0" applyFont="1" applyFill="1" applyBorder="1" applyAlignment="1" applyProtection="1">
      <alignment vertical="center" wrapText="1"/>
      <protection locked="0"/>
    </xf>
    <xf numFmtId="0" fontId="6" fillId="7" borderId="23" xfId="0" applyFont="1" applyFill="1" applyBorder="1" applyAlignment="1" applyProtection="1">
      <alignment horizontal="left" vertical="center" wrapText="1"/>
      <protection locked="0"/>
    </xf>
    <xf numFmtId="1" fontId="6" fillId="5" borderId="4" xfId="0" applyNumberFormat="1" applyFont="1" applyFill="1" applyBorder="1" applyAlignment="1" applyProtection="1">
      <alignment horizontal="center" vertical="center"/>
      <protection locked="0"/>
    </xf>
    <xf numFmtId="0" fontId="6" fillId="7" borderId="6" xfId="0" applyFont="1" applyFill="1" applyBorder="1" applyAlignment="1" applyProtection="1">
      <alignment horizontal="center" vertical="center" wrapText="1"/>
      <protection locked="0"/>
    </xf>
    <xf numFmtId="0" fontId="6" fillId="3" borderId="22" xfId="0" applyFont="1" applyFill="1" applyBorder="1" applyAlignment="1" applyProtection="1">
      <alignment horizontal="center" vertical="center"/>
      <protection locked="0"/>
    </xf>
    <xf numFmtId="0" fontId="3" fillId="7" borderId="0" xfId="0" applyFont="1" applyFill="1" applyAlignment="1" applyProtection="1">
      <alignment vertical="center" wrapText="1"/>
      <protection locked="0"/>
    </xf>
    <xf numFmtId="0" fontId="3" fillId="7" borderId="26" xfId="0" applyFont="1" applyFill="1" applyBorder="1" applyAlignment="1" applyProtection="1">
      <alignment vertical="center" wrapText="1"/>
      <protection locked="0"/>
    </xf>
    <xf numFmtId="0" fontId="14" fillId="7" borderId="19" xfId="0" applyFont="1" applyFill="1" applyBorder="1" applyAlignment="1" applyProtection="1">
      <alignment vertical="top" wrapText="1"/>
      <protection locked="0"/>
    </xf>
    <xf numFmtId="0" fontId="3" fillId="7" borderId="2" xfId="0" applyFont="1" applyFill="1" applyBorder="1" applyAlignment="1" applyProtection="1">
      <alignment vertical="center"/>
      <protection locked="0"/>
    </xf>
    <xf numFmtId="0" fontId="3" fillId="7" borderId="3" xfId="0" applyFont="1" applyFill="1" applyBorder="1" applyAlignment="1" applyProtection="1">
      <alignment vertical="center"/>
      <protection locked="0"/>
    </xf>
    <xf numFmtId="0" fontId="3" fillId="7" borderId="20" xfId="0" applyFont="1" applyFill="1" applyBorder="1" applyAlignment="1" applyProtection="1">
      <alignment vertical="center"/>
      <protection locked="0"/>
    </xf>
    <xf numFmtId="0" fontId="6" fillId="5" borderId="29" xfId="0" applyFont="1" applyFill="1" applyBorder="1" applyAlignment="1" applyProtection="1">
      <alignment vertical="center"/>
      <protection locked="0"/>
    </xf>
    <xf numFmtId="0" fontId="3" fillId="5" borderId="30" xfId="0" applyFont="1" applyFill="1" applyBorder="1" applyAlignment="1" applyProtection="1">
      <alignment vertical="center"/>
      <protection locked="0"/>
    </xf>
    <xf numFmtId="0" fontId="3" fillId="5" borderId="31" xfId="0" applyFont="1" applyFill="1" applyBorder="1" applyAlignment="1" applyProtection="1">
      <alignment vertical="center"/>
      <protection locked="0"/>
    </xf>
    <xf numFmtId="0" fontId="3" fillId="5" borderId="32" xfId="0" applyFont="1" applyFill="1" applyBorder="1" applyAlignment="1" applyProtection="1">
      <alignment vertical="center"/>
      <protection locked="0"/>
    </xf>
    <xf numFmtId="9" fontId="3" fillId="2" borderId="4" xfId="1" applyNumberFormat="1" applyFont="1" applyFill="1" applyBorder="1" applyAlignment="1" applyProtection="1">
      <alignment horizontal="center" vertical="center" wrapText="1"/>
    </xf>
    <xf numFmtId="9" fontId="3" fillId="2" borderId="4" xfId="0" applyNumberFormat="1" applyFont="1" applyFill="1" applyBorder="1" applyAlignment="1">
      <alignment horizontal="center" vertical="center" wrapText="1"/>
    </xf>
    <xf numFmtId="0" fontId="3" fillId="7" borderId="0" xfId="0" applyFont="1" applyFill="1" applyAlignment="1">
      <alignment horizontal="center" vertical="center"/>
    </xf>
    <xf numFmtId="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 wrapText="1"/>
    </xf>
    <xf numFmtId="0" fontId="6" fillId="7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 wrapText="1"/>
    </xf>
    <xf numFmtId="1" fontId="3" fillId="7" borderId="0" xfId="2" applyNumberFormat="1" applyFont="1" applyFill="1" applyBorder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6" fillId="2" borderId="6" xfId="0" applyFont="1" applyFill="1" applyBorder="1" applyAlignment="1" applyProtection="1">
      <alignment horizontal="center" vertical="center" wrapText="1"/>
      <protection locked="0"/>
    </xf>
    <xf numFmtId="0" fontId="6" fillId="2" borderId="18" xfId="0" applyFont="1" applyFill="1" applyBorder="1" applyAlignment="1" applyProtection="1">
      <alignment horizontal="center" vertical="center" wrapText="1"/>
      <protection locked="0"/>
    </xf>
    <xf numFmtId="0" fontId="5" fillId="0" borderId="23" xfId="0" applyFont="1" applyBorder="1" applyAlignment="1" applyProtection="1">
      <alignment horizontal="center" vertical="center" wrapText="1"/>
      <protection locked="0"/>
    </xf>
    <xf numFmtId="0" fontId="5" fillId="0" borderId="4" xfId="0" applyFont="1" applyBorder="1" applyAlignment="1" applyProtection="1">
      <alignment horizontal="center" vertical="center" wrapText="1"/>
      <protection locked="0"/>
    </xf>
    <xf numFmtId="0" fontId="5" fillId="0" borderId="22" xfId="0" applyFont="1" applyBorder="1" applyAlignment="1" applyProtection="1">
      <alignment horizontal="center" vertical="center" wrapText="1"/>
      <protection locked="0"/>
    </xf>
    <xf numFmtId="0" fontId="6" fillId="4" borderId="19" xfId="0" applyFont="1" applyFill="1" applyBorder="1" applyAlignment="1" applyProtection="1">
      <alignment horizontal="left" vertical="top" wrapText="1"/>
      <protection locked="0"/>
    </xf>
    <xf numFmtId="0" fontId="6" fillId="4" borderId="24" xfId="0" applyFont="1" applyFill="1" applyBorder="1" applyAlignment="1" applyProtection="1">
      <alignment horizontal="left" vertical="top" wrapText="1"/>
      <protection locked="0"/>
    </xf>
    <xf numFmtId="0" fontId="6" fillId="4" borderId="21" xfId="0" applyFont="1" applyFill="1" applyBorder="1" applyAlignment="1" applyProtection="1">
      <alignment horizontal="left" vertical="top" wrapText="1"/>
      <protection locked="0"/>
    </xf>
    <xf numFmtId="0" fontId="6" fillId="4" borderId="11" xfId="0" applyFont="1" applyFill="1" applyBorder="1" applyAlignment="1" applyProtection="1">
      <alignment horizontal="left" vertical="top" wrapText="1"/>
      <protection locked="0"/>
    </xf>
    <xf numFmtId="0" fontId="6" fillId="4" borderId="8" xfId="0" applyFont="1" applyFill="1" applyBorder="1" applyAlignment="1" applyProtection="1">
      <alignment horizontal="left" vertical="top" wrapText="1"/>
      <protection locked="0"/>
    </xf>
    <xf numFmtId="0" fontId="6" fillId="4" borderId="12" xfId="0" applyFont="1" applyFill="1" applyBorder="1" applyAlignment="1" applyProtection="1">
      <alignment horizontal="left" vertical="top" wrapText="1"/>
      <protection locked="0"/>
    </xf>
    <xf numFmtId="0" fontId="5" fillId="0" borderId="25" xfId="0" applyFont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 wrapText="1"/>
      <protection locked="0"/>
    </xf>
    <xf numFmtId="0" fontId="5" fillId="0" borderId="18" xfId="0" applyFont="1" applyBorder="1" applyAlignment="1" applyProtection="1">
      <alignment horizontal="center" vertical="center" wrapText="1"/>
      <protection locked="0"/>
    </xf>
    <xf numFmtId="0" fontId="6" fillId="4" borderId="4" xfId="0" applyFont="1" applyFill="1" applyBorder="1" applyAlignment="1" applyProtection="1">
      <alignment horizontal="left" vertical="top" wrapText="1"/>
      <protection locked="0"/>
    </xf>
    <xf numFmtId="0" fontId="8" fillId="8" borderId="13" xfId="3" applyFont="1" applyFill="1" applyBorder="1" applyAlignment="1" applyProtection="1">
      <alignment horizontal="center" vertical="center"/>
      <protection locked="0"/>
    </xf>
    <xf numFmtId="0" fontId="8" fillId="8" borderId="14" xfId="3" applyFont="1" applyFill="1" applyBorder="1" applyAlignment="1" applyProtection="1">
      <alignment horizontal="center" vertical="center"/>
      <protection locked="0"/>
    </xf>
    <xf numFmtId="0" fontId="8" fillId="8" borderId="17" xfId="3" applyFont="1" applyFill="1" applyBorder="1" applyAlignment="1" applyProtection="1">
      <alignment horizontal="center" vertical="center"/>
      <protection locked="0"/>
    </xf>
    <xf numFmtId="0" fontId="8" fillId="8" borderId="5" xfId="3" applyFont="1" applyFill="1" applyBorder="1" applyAlignment="1" applyProtection="1">
      <alignment horizontal="center" vertical="center"/>
      <protection locked="0"/>
    </xf>
    <xf numFmtId="0" fontId="6" fillId="4" borderId="23" xfId="0" applyFont="1" applyFill="1" applyBorder="1" applyAlignment="1" applyProtection="1">
      <alignment horizontal="center" vertical="center" wrapText="1"/>
      <protection locked="0"/>
    </xf>
    <xf numFmtId="0" fontId="6" fillId="4" borderId="4" xfId="0" applyFont="1" applyFill="1" applyBorder="1" applyAlignment="1" applyProtection="1">
      <alignment horizontal="center" vertical="center" wrapText="1"/>
      <protection locked="0"/>
    </xf>
    <xf numFmtId="0" fontId="6" fillId="4" borderId="4" xfId="0" applyFont="1" applyFill="1" applyBorder="1" applyAlignment="1" applyProtection="1">
      <alignment horizontal="center" vertical="top" wrapText="1"/>
      <protection locked="0"/>
    </xf>
    <xf numFmtId="0" fontId="6" fillId="4" borderId="22" xfId="0" applyFont="1" applyFill="1" applyBorder="1" applyAlignment="1" applyProtection="1">
      <alignment horizontal="center" vertical="center" wrapText="1"/>
      <protection locked="0"/>
    </xf>
    <xf numFmtId="0" fontId="6" fillId="4" borderId="28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Border="1" applyAlignment="1" applyProtection="1">
      <alignment horizontal="center" vertical="center" wrapText="1"/>
      <protection locked="0"/>
    </xf>
    <xf numFmtId="0" fontId="6" fillId="4" borderId="0" xfId="0" applyFont="1" applyFill="1" applyBorder="1" applyAlignment="1" applyProtection="1">
      <alignment horizontal="left" vertical="top" wrapText="1"/>
      <protection locked="0"/>
    </xf>
    <xf numFmtId="9" fontId="3" fillId="5" borderId="20" xfId="0" applyNumberFormat="1" applyFont="1" applyFill="1" applyBorder="1" applyAlignment="1" applyProtection="1">
      <alignment horizontal="center" vertical="center"/>
      <protection locked="0"/>
    </xf>
  </cellXfs>
  <cellStyles count="4">
    <cellStyle name="Comma" xfId="1" builtinId="3"/>
    <cellStyle name="Normal" xfId="0" builtinId="0"/>
    <cellStyle name="Percent" xfId="2" builtinId="5"/>
    <cellStyle name="Title" xfId="3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AX$24" noThreeD="1"/>
</file>

<file path=xl/ctrlProps/ctrlProp2.xml><?xml version="1.0" encoding="utf-8"?>
<formControlPr xmlns="http://schemas.microsoft.com/office/spreadsheetml/2009/9/main" objectType="CheckBox" checked="Checked" fmlaLink="$AX$25" noThreeD="1"/>
</file>

<file path=xl/ctrlProps/ctrlProp3.xml><?xml version="1.0" encoding="utf-8"?>
<formControlPr xmlns="http://schemas.microsoft.com/office/spreadsheetml/2009/9/main" objectType="CheckBox" checked="Checked" fmlaLink="$AX$27" noThreeD="1"/>
</file>

<file path=xl/ctrlProps/ctrlProp4.xml><?xml version="1.0" encoding="utf-8"?>
<formControlPr xmlns="http://schemas.microsoft.com/office/spreadsheetml/2009/9/main" objectType="CheckBox" checked="Checked" fmlaLink="$AX$28" noThreeD="1"/>
</file>

<file path=xl/ctrlProps/ctrlProp5.xml><?xml version="1.0" encoding="utf-8"?>
<formControlPr xmlns="http://schemas.microsoft.com/office/spreadsheetml/2009/9/main" objectType="CheckBox" checked="Checked" fmlaLink="$AX$23"/>
</file>

<file path=xl/ctrlProps/ctrlProp6.xml><?xml version="1.0" encoding="utf-8"?>
<formControlPr xmlns="http://schemas.microsoft.com/office/spreadsheetml/2009/9/main" objectType="CheckBox" checked="Checked" fmlaLink="$AX$30" noThreeD="1"/>
</file>

<file path=xl/ctrlProps/ctrlProp7.xml><?xml version="1.0" encoding="utf-8"?>
<formControlPr xmlns="http://schemas.microsoft.com/office/spreadsheetml/2009/9/main" objectType="CheckBox" checked="Checked" fmlaLink="$AX$31" noThreeD="1"/>
</file>

<file path=xl/ctrlProps/ctrlProp8.xml><?xml version="1.0" encoding="utf-8"?>
<formControlPr xmlns="http://schemas.microsoft.com/office/spreadsheetml/2009/9/main" objectType="CheckBox" checked="Checked" fmlaLink="$AX$22"/>
</file>

<file path=xl/ctrlProps/ctrlProp9.xml><?xml version="1.0" encoding="utf-8"?>
<formControlPr xmlns="http://schemas.microsoft.com/office/spreadsheetml/2009/9/main" objectType="CheckBox" checked="Checked" fmlaLink="$AX$21"/>
</file>

<file path=xl/ctrlProps/ctrlProp10.xml><?xml version="1.0" encoding="utf-8"?>
<formControlPr xmlns="http://schemas.microsoft.com/office/spreadsheetml/2009/9/main" objectType="CheckBox" checked="Checked" fmlaLink="$AX$20"/>
</file>

<file path=xl/ctrlProps/ctrlProp11.xml><?xml version="1.0" encoding="utf-8"?>
<formControlPr xmlns="http://schemas.microsoft.com/office/spreadsheetml/2009/9/main" objectType="CheckBox" checked="Checked" fmlaLink="$AY$31" lockText="1" noThreeD="1"/>
</file>

<file path=xl/ctrlProps/ctrlProp12.xml><?xml version="1.0" encoding="utf-8"?>
<formControlPr xmlns="http://schemas.microsoft.com/office/spreadsheetml/2009/9/main" objectType="CheckBox" checked="Checked" fmlaLink="$AY$30" lockText="1" noThreeD="1"/>
</file>

<file path=xl/ctrlProps/ctrlProp13.xml><?xml version="1.0" encoding="utf-8"?>
<formControlPr xmlns="http://schemas.microsoft.com/office/spreadsheetml/2009/9/main" objectType="CheckBox" checked="Checked" fmlaLink="$AY$32" lockText="1" noThreeD="1"/>
</file>

<file path=xl/ctrlProps/ctrlProp14.xml><?xml version="1.0" encoding="utf-8"?>
<formControlPr xmlns="http://schemas.microsoft.com/office/spreadsheetml/2009/9/main" objectType="CheckBox" checked="Checked" fmlaLink="$AY$33" lockText="1" noThreeD="1"/>
</file>

<file path=xl/ctrlProps/ctrlProp15.xml><?xml version="1.0" encoding="utf-8"?>
<formControlPr xmlns="http://schemas.microsoft.com/office/spreadsheetml/2009/9/main" objectType="CheckBox" fmlaLink="$AY$34" noThreeD="1"/>
</file>

<file path=xl/ctrlProps/ctrlProp16.xml><?xml version="1.0" encoding="utf-8"?>
<formControlPr xmlns="http://schemas.microsoft.com/office/spreadsheetml/2009/9/main" objectType="CheckBox" fmlaLink="$AY$36" noThreeD="1"/>
</file>

<file path=xl/ctrlProps/ctrlProp17.xml><?xml version="1.0" encoding="utf-8"?>
<formControlPr xmlns="http://schemas.microsoft.com/office/spreadsheetml/2009/9/main" objectType="CheckBox" fmlaLink="$AY$37" noThreeD="1"/>
</file>

<file path=xl/ctrlProps/ctrlProp18.xml><?xml version="1.0" encoding="utf-8"?>
<formControlPr xmlns="http://schemas.microsoft.com/office/spreadsheetml/2009/9/main" objectType="CheckBox" fmlaLink="$AY$38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checked="Checked" fmlaLink="$AX$27" noThreeD="1"/>
</file>

<file path=xl/ctrlProps/ctrlProp25.xml><?xml version="1.0" encoding="utf-8"?>
<formControlPr xmlns="http://schemas.microsoft.com/office/spreadsheetml/2009/9/main" objectType="CheckBox" checked="Checked" fmlaLink="$AX$28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22</xdr:row>
          <xdr:rowOff>19050</xdr:rowOff>
        </xdr:from>
        <xdr:to>
          <xdr:col>1</xdr:col>
          <xdr:colOff>542925</xdr:colOff>
          <xdr:row>22</xdr:row>
          <xdr:rowOff>276225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1st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23</xdr:row>
          <xdr:rowOff>9525</xdr:rowOff>
        </xdr:from>
        <xdr:to>
          <xdr:col>1</xdr:col>
          <xdr:colOff>1009650</xdr:colOff>
          <xdr:row>23</xdr:row>
          <xdr:rowOff>285750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15th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22</xdr:row>
          <xdr:rowOff>9525</xdr:rowOff>
        </xdr:from>
        <xdr:to>
          <xdr:col>3</xdr:col>
          <xdr:colOff>771525</xdr:colOff>
          <xdr:row>22</xdr:row>
          <xdr:rowOff>228600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1st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23</xdr:row>
          <xdr:rowOff>9525</xdr:rowOff>
        </xdr:from>
        <xdr:to>
          <xdr:col>3</xdr:col>
          <xdr:colOff>704850</xdr:colOff>
          <xdr:row>23</xdr:row>
          <xdr:rowOff>247650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15th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16</xdr:row>
          <xdr:rowOff>28575</xdr:rowOff>
        </xdr:from>
        <xdr:to>
          <xdr:col>1</xdr:col>
          <xdr:colOff>447675</xdr:colOff>
          <xdr:row>16</xdr:row>
          <xdr:rowOff>304800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27</xdr:row>
          <xdr:rowOff>9525</xdr:rowOff>
        </xdr:from>
        <xdr:to>
          <xdr:col>1</xdr:col>
          <xdr:colOff>666750</xdr:colOff>
          <xdr:row>27</xdr:row>
          <xdr:rowOff>295275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Yes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22</xdr:row>
          <xdr:rowOff>19050</xdr:rowOff>
        </xdr:from>
        <xdr:to>
          <xdr:col>5</xdr:col>
          <xdr:colOff>1000125</xdr:colOff>
          <xdr:row>22</xdr:row>
          <xdr:rowOff>295275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Yes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17</xdr:row>
          <xdr:rowOff>0</xdr:rowOff>
        </xdr:from>
        <xdr:to>
          <xdr:col>1</xdr:col>
          <xdr:colOff>457200</xdr:colOff>
          <xdr:row>17</xdr:row>
          <xdr:rowOff>295275</xdr:rowOff>
        </xdr:to>
        <xdr:sp macro="" textlink="">
          <xdr:nvSpPr>
            <xdr:cNvPr id="2056" name="Check Box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17</xdr:row>
          <xdr:rowOff>304800</xdr:rowOff>
        </xdr:from>
        <xdr:to>
          <xdr:col>1</xdr:col>
          <xdr:colOff>457200</xdr:colOff>
          <xdr:row>18</xdr:row>
          <xdr:rowOff>285750</xdr:rowOff>
        </xdr:to>
        <xdr:sp macro="" textlink="">
          <xdr:nvSpPr>
            <xdr:cNvPr id="2057" name="Check Box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19</xdr:row>
          <xdr:rowOff>19050</xdr:rowOff>
        </xdr:from>
        <xdr:to>
          <xdr:col>1</xdr:col>
          <xdr:colOff>457200</xdr:colOff>
          <xdr:row>19</xdr:row>
          <xdr:rowOff>304800</xdr:rowOff>
        </xdr:to>
        <xdr:sp macro="" textlink="">
          <xdr:nvSpPr>
            <xdr:cNvPr id="2058" name="Check Box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oneCellAnchor>
    <xdr:from>
      <xdr:col>1</xdr:col>
      <xdr:colOff>315049</xdr:colOff>
      <xdr:row>16</xdr:row>
      <xdr:rowOff>52917</xdr:rowOff>
    </xdr:from>
    <xdr:ext cx="649345" cy="24885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2548132" y="5302250"/>
          <a:ext cx="649345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000"/>
            <a:t>1st week</a:t>
          </a:r>
        </a:p>
      </xdr:txBody>
    </xdr:sp>
    <xdr:clientData/>
  </xdr:oneCellAnchor>
  <xdr:oneCellAnchor>
    <xdr:from>
      <xdr:col>1</xdr:col>
      <xdr:colOff>335158</xdr:colOff>
      <xdr:row>17</xdr:row>
      <xdr:rowOff>50132</xdr:rowOff>
    </xdr:from>
    <xdr:ext cx="691023" cy="248851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2564008" y="5574632"/>
          <a:ext cx="691023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000"/>
            <a:t>2nd week</a:t>
          </a:r>
        </a:p>
      </xdr:txBody>
    </xdr:sp>
    <xdr:clientData/>
  </xdr:oneCellAnchor>
  <xdr:oneCellAnchor>
    <xdr:from>
      <xdr:col>1</xdr:col>
      <xdr:colOff>336718</xdr:colOff>
      <xdr:row>18</xdr:row>
      <xdr:rowOff>51691</xdr:rowOff>
    </xdr:from>
    <xdr:ext cx="668324" cy="248851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2565568" y="5890516"/>
          <a:ext cx="668324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000"/>
            <a:t>3rd week</a:t>
          </a:r>
        </a:p>
      </xdr:txBody>
    </xdr:sp>
    <xdr:clientData/>
  </xdr:oneCellAnchor>
  <xdr:oneCellAnchor>
    <xdr:from>
      <xdr:col>1</xdr:col>
      <xdr:colOff>327192</xdr:colOff>
      <xdr:row>19</xdr:row>
      <xdr:rowOff>27516</xdr:rowOff>
    </xdr:from>
    <xdr:ext cx="666593" cy="248851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2556042" y="6180666"/>
          <a:ext cx="666593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000"/>
            <a:t>4th week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17</xdr:row>
          <xdr:rowOff>19050</xdr:rowOff>
        </xdr:from>
        <xdr:to>
          <xdr:col>3</xdr:col>
          <xdr:colOff>361950</xdr:colOff>
          <xdr:row>17</xdr:row>
          <xdr:rowOff>228600</xdr:rowOff>
        </xdr:to>
        <xdr:sp macro="" textlink="">
          <xdr:nvSpPr>
            <xdr:cNvPr id="2059" name="Check Box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16</xdr:row>
          <xdr:rowOff>0</xdr:rowOff>
        </xdr:from>
        <xdr:to>
          <xdr:col>3</xdr:col>
          <xdr:colOff>400050</xdr:colOff>
          <xdr:row>16</xdr:row>
          <xdr:rowOff>247650</xdr:rowOff>
        </xdr:to>
        <xdr:sp macro="" textlink="">
          <xdr:nvSpPr>
            <xdr:cNvPr id="2060" name="Check Box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18</xdr:row>
          <xdr:rowOff>38100</xdr:rowOff>
        </xdr:from>
        <xdr:to>
          <xdr:col>3</xdr:col>
          <xdr:colOff>419100</xdr:colOff>
          <xdr:row>18</xdr:row>
          <xdr:rowOff>266700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19</xdr:row>
          <xdr:rowOff>9525</xdr:rowOff>
        </xdr:from>
        <xdr:to>
          <xdr:col>3</xdr:col>
          <xdr:colOff>438150</xdr:colOff>
          <xdr:row>19</xdr:row>
          <xdr:rowOff>257175</xdr:rowOff>
        </xdr:to>
        <xdr:sp macro="" textlink="">
          <xdr:nvSpPr>
            <xdr:cNvPr id="2062" name="Check Box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279233</xdr:colOff>
      <xdr:row>16</xdr:row>
      <xdr:rowOff>42724</xdr:rowOff>
    </xdr:from>
    <xdr:ext cx="649345" cy="248851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5041733" y="5252899"/>
          <a:ext cx="649345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000"/>
            <a:t>1st week</a:t>
          </a:r>
        </a:p>
      </xdr:txBody>
    </xdr:sp>
    <xdr:clientData/>
  </xdr:oneCellAnchor>
  <xdr:oneCellAnchor>
    <xdr:from>
      <xdr:col>3</xdr:col>
      <xdr:colOff>298839</xdr:colOff>
      <xdr:row>19</xdr:row>
      <xdr:rowOff>11197</xdr:rowOff>
    </xdr:from>
    <xdr:ext cx="666593" cy="248851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5061339" y="6164347"/>
          <a:ext cx="666593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000"/>
            <a:t>4th week</a:t>
          </a:r>
        </a:p>
      </xdr:txBody>
    </xdr:sp>
    <xdr:clientData/>
  </xdr:oneCellAnchor>
  <xdr:oneCellAnchor>
    <xdr:from>
      <xdr:col>3</xdr:col>
      <xdr:colOff>290929</xdr:colOff>
      <xdr:row>18</xdr:row>
      <xdr:rowOff>20274</xdr:rowOff>
    </xdr:from>
    <xdr:ext cx="668324" cy="248851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5053429" y="5859099"/>
          <a:ext cx="668324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000"/>
            <a:t>3rd</a:t>
          </a:r>
          <a:r>
            <a:rPr lang="en-IN" sz="1000" baseline="0"/>
            <a:t> </a:t>
          </a:r>
          <a:r>
            <a:rPr lang="en-IN" sz="1000"/>
            <a:t>week</a:t>
          </a:r>
        </a:p>
      </xdr:txBody>
    </xdr:sp>
    <xdr:clientData/>
  </xdr:oneCellAnchor>
  <xdr:oneCellAnchor>
    <xdr:from>
      <xdr:col>3</xdr:col>
      <xdr:colOff>271768</xdr:colOff>
      <xdr:row>17</xdr:row>
      <xdr:rowOff>36653</xdr:rowOff>
    </xdr:from>
    <xdr:ext cx="691023" cy="248851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5552851" y="5762236"/>
          <a:ext cx="691023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000"/>
            <a:t>2nd week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24</xdr:row>
          <xdr:rowOff>19050</xdr:rowOff>
        </xdr:from>
        <xdr:to>
          <xdr:col>1</xdr:col>
          <xdr:colOff>895350</xdr:colOff>
          <xdr:row>24</xdr:row>
          <xdr:rowOff>276225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24</xdr:row>
          <xdr:rowOff>9525</xdr:rowOff>
        </xdr:from>
        <xdr:to>
          <xdr:col>3</xdr:col>
          <xdr:colOff>866775</xdr:colOff>
          <xdr:row>24</xdr:row>
          <xdr:rowOff>257175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28</xdr:row>
          <xdr:rowOff>19050</xdr:rowOff>
        </xdr:from>
        <xdr:to>
          <xdr:col>1</xdr:col>
          <xdr:colOff>657225</xdr:colOff>
          <xdr:row>28</xdr:row>
          <xdr:rowOff>276225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200025</xdr:colOff>
          <xdr:row>23</xdr:row>
          <xdr:rowOff>38100</xdr:rowOff>
        </xdr:from>
        <xdr:to>
          <xdr:col>5</xdr:col>
          <xdr:colOff>1162050</xdr:colOff>
          <xdr:row>23</xdr:row>
          <xdr:rowOff>285750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16</xdr:row>
          <xdr:rowOff>47625</xdr:rowOff>
        </xdr:from>
        <xdr:to>
          <xdr:col>5</xdr:col>
          <xdr:colOff>495300</xdr:colOff>
          <xdr:row>16</xdr:row>
          <xdr:rowOff>276225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17</xdr:row>
          <xdr:rowOff>28575</xdr:rowOff>
        </xdr:from>
        <xdr:to>
          <xdr:col>5</xdr:col>
          <xdr:colOff>723900</xdr:colOff>
          <xdr:row>17</xdr:row>
          <xdr:rowOff>266700</xdr:rowOff>
        </xdr:to>
        <xdr:sp macro="" textlink="">
          <xdr:nvSpPr>
            <xdr:cNvPr id="2068" name="Check Box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15th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18</xdr:row>
          <xdr:rowOff>66675</xdr:rowOff>
        </xdr:from>
        <xdr:to>
          <xdr:col>5</xdr:col>
          <xdr:colOff>714375</xdr:colOff>
          <xdr:row>18</xdr:row>
          <xdr:rowOff>257175</xdr:rowOff>
        </xdr:to>
        <xdr:sp macro="" textlink="">
          <xdr:nvSpPr>
            <xdr:cNvPr id="2069" name="Check Box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27</xdr:row>
          <xdr:rowOff>19050</xdr:rowOff>
        </xdr:from>
        <xdr:to>
          <xdr:col>3</xdr:col>
          <xdr:colOff>866775</xdr:colOff>
          <xdr:row>27</xdr:row>
          <xdr:rowOff>285750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28</xdr:row>
          <xdr:rowOff>28575</xdr:rowOff>
        </xdr:from>
        <xdr:to>
          <xdr:col>3</xdr:col>
          <xdr:colOff>857250</xdr:colOff>
          <xdr:row>28</xdr:row>
          <xdr:rowOff>247650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133350</xdr:colOff>
          <xdr:row>30</xdr:row>
          <xdr:rowOff>9525</xdr:rowOff>
        </xdr:from>
        <xdr:ext cx="638175" cy="219075"/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46E74D1C-9686-40CA-BAF7-46823D4BB0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1st</a:t>
              </a:r>
            </a:p>
          </xdr:txBody>
        </xdr:sp>
        <xdr:clientData fLocksWithSheet="0"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142875</xdr:colOff>
          <xdr:row>31</xdr:row>
          <xdr:rowOff>9525</xdr:rowOff>
        </xdr:from>
        <xdr:ext cx="561975" cy="238125"/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DE16910C-088E-4D6F-ACA6-3E6E3D9B46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15th</a:t>
              </a:r>
            </a:p>
          </xdr:txBody>
        </xdr:sp>
        <xdr:clientData fLocksWithSheet="0"/>
      </xdr:one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0DADD3-46A4-48C0-BC7C-C59CE87F6DC3}">
  <sheetPr codeName="Sheet1"/>
  <dimension ref="A1:A38"/>
  <sheetViews>
    <sheetView workbookViewId="0">
      <selection sqref="A1:XFD1048576"/>
    </sheetView>
  </sheetViews>
  <sheetFormatPr defaultColWidth="9" defaultRowHeight="15" x14ac:dyDescent="0.25"/>
  <cols>
    <col min="1" max="1" width="125.28515625" style="18" customWidth="1"/>
    <col min="2" max="2" width="8.5703125" style="18" customWidth="1"/>
    <col min="3" max="16384" width="9" style="18"/>
  </cols>
  <sheetData>
    <row r="1" spans="1:1" ht="18.75" x14ac:dyDescent="0.25">
      <c r="A1" s="19" t="s">
        <v>27</v>
      </c>
    </row>
    <row r="2" spans="1:1" x14ac:dyDescent="0.25">
      <c r="A2" s="20" t="s">
        <v>44</v>
      </c>
    </row>
    <row r="3" spans="1:1" x14ac:dyDescent="0.25">
      <c r="A3" s="20" t="s">
        <v>34</v>
      </c>
    </row>
    <row r="4" spans="1:1" x14ac:dyDescent="0.25">
      <c r="A4" s="20" t="s">
        <v>28</v>
      </c>
    </row>
    <row r="5" spans="1:1" x14ac:dyDescent="0.25">
      <c r="A5" s="21" t="s">
        <v>56</v>
      </c>
    </row>
    <row r="6" spans="1:1" x14ac:dyDescent="0.25">
      <c r="A6" s="22" t="s">
        <v>29</v>
      </c>
    </row>
    <row r="7" spans="1:1" ht="18.75" x14ac:dyDescent="0.25">
      <c r="A7" s="23" t="s">
        <v>30</v>
      </c>
    </row>
    <row r="8" spans="1:1" x14ac:dyDescent="0.25">
      <c r="A8" s="20" t="s">
        <v>35</v>
      </c>
    </row>
    <row r="9" spans="1:1" x14ac:dyDescent="0.25">
      <c r="A9" s="20" t="s">
        <v>36</v>
      </c>
    </row>
    <row r="10" spans="1:1" x14ac:dyDescent="0.25">
      <c r="A10" s="20" t="s">
        <v>57</v>
      </c>
    </row>
    <row r="11" spans="1:1" x14ac:dyDescent="0.25">
      <c r="A11" s="20" t="s">
        <v>45</v>
      </c>
    </row>
    <row r="12" spans="1:1" ht="18.75" x14ac:dyDescent="0.25">
      <c r="A12" s="23" t="s">
        <v>31</v>
      </c>
    </row>
    <row r="13" spans="1:1" x14ac:dyDescent="0.25">
      <c r="A13" s="20" t="s">
        <v>32</v>
      </c>
    </row>
    <row r="14" spans="1:1" x14ac:dyDescent="0.25">
      <c r="A14" s="20" t="s">
        <v>33</v>
      </c>
    </row>
    <row r="15" spans="1:1" ht="30" x14ac:dyDescent="0.25">
      <c r="A15" s="20" t="s">
        <v>58</v>
      </c>
    </row>
    <row r="16" spans="1:1" x14ac:dyDescent="0.25">
      <c r="A16" s="20" t="s">
        <v>59</v>
      </c>
    </row>
    <row r="17" spans="1:1" x14ac:dyDescent="0.25">
      <c r="A17" s="20" t="s">
        <v>46</v>
      </c>
    </row>
    <row r="18" spans="1:1" ht="45" x14ac:dyDescent="0.25">
      <c r="A18" s="20" t="s">
        <v>37</v>
      </c>
    </row>
    <row r="19" spans="1:1" ht="45" x14ac:dyDescent="0.25">
      <c r="A19" s="20" t="s">
        <v>39</v>
      </c>
    </row>
    <row r="20" spans="1:1" x14ac:dyDescent="0.25">
      <c r="A20" s="20" t="s">
        <v>38</v>
      </c>
    </row>
    <row r="21" spans="1:1" ht="30" x14ac:dyDescent="0.25">
      <c r="A21" s="22" t="s">
        <v>54</v>
      </c>
    </row>
    <row r="22" spans="1:1" ht="30" x14ac:dyDescent="0.25">
      <c r="A22" s="22" t="s">
        <v>49</v>
      </c>
    </row>
    <row r="23" spans="1:1" x14ac:dyDescent="0.25">
      <c r="A23" s="20" t="s">
        <v>60</v>
      </c>
    </row>
    <row r="24" spans="1:1" x14ac:dyDescent="0.25">
      <c r="A24" s="20" t="s">
        <v>61</v>
      </c>
    </row>
    <row r="25" spans="1:1" x14ac:dyDescent="0.25">
      <c r="A25" s="20" t="s">
        <v>62</v>
      </c>
    </row>
    <row r="26" spans="1:1" ht="30" x14ac:dyDescent="0.25">
      <c r="A26" s="20" t="s">
        <v>63</v>
      </c>
    </row>
    <row r="27" spans="1:1" ht="30" x14ac:dyDescent="0.25">
      <c r="A27" s="20" t="s">
        <v>64</v>
      </c>
    </row>
    <row r="28" spans="1:1" x14ac:dyDescent="0.25">
      <c r="A28" s="20" t="s">
        <v>65</v>
      </c>
    </row>
    <row r="29" spans="1:1" ht="30" x14ac:dyDescent="0.25">
      <c r="A29" s="20" t="s">
        <v>66</v>
      </c>
    </row>
    <row r="30" spans="1:1" ht="30" x14ac:dyDescent="0.25">
      <c r="A30" s="20" t="s">
        <v>67</v>
      </c>
    </row>
    <row r="31" spans="1:1" x14ac:dyDescent="0.25">
      <c r="A31" s="20" t="s">
        <v>68</v>
      </c>
    </row>
    <row r="32" spans="1:1" x14ac:dyDescent="0.25">
      <c r="A32" s="20" t="s">
        <v>69</v>
      </c>
    </row>
    <row r="33" spans="1:1" x14ac:dyDescent="0.25">
      <c r="A33" s="20" t="s">
        <v>70</v>
      </c>
    </row>
    <row r="34" spans="1:1" x14ac:dyDescent="0.25">
      <c r="A34" s="20" t="s">
        <v>71</v>
      </c>
    </row>
    <row r="35" spans="1:1" x14ac:dyDescent="0.25">
      <c r="A35" s="21" t="s">
        <v>72</v>
      </c>
    </row>
    <row r="36" spans="1:1" x14ac:dyDescent="0.25">
      <c r="A36" s="21" t="s">
        <v>52</v>
      </c>
    </row>
    <row r="37" spans="1:1" x14ac:dyDescent="0.25">
      <c r="A37" s="21" t="s">
        <v>53</v>
      </c>
    </row>
    <row r="38" spans="1:1" x14ac:dyDescent="0.25">
      <c r="A38" s="21" t="s">
        <v>55</v>
      </c>
    </row>
  </sheetData>
  <pageMargins left="0.7" right="0.7" top="0.75" bottom="0.75" header="0.3" footer="0.3"/>
  <pageSetup paperSize="9" orientation="portrait" horizont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7BCAF-0B57-458C-948D-70910EF36130}">
  <sheetPr codeName="Sheet2"/>
  <dimension ref="A1:BG125"/>
  <sheetViews>
    <sheetView tabSelected="1" topLeftCell="A9" zoomScale="80" zoomScaleNormal="80" workbookViewId="0">
      <selection activeCell="I5" sqref="I5:I6"/>
    </sheetView>
  </sheetViews>
  <sheetFormatPr defaultColWidth="9" defaultRowHeight="15.75" x14ac:dyDescent="0.25"/>
  <cols>
    <col min="1" max="1" width="37.85546875" style="4" customWidth="1"/>
    <col min="2" max="6" width="19" style="4" customWidth="1"/>
    <col min="7" max="7" width="12" style="4" customWidth="1"/>
    <col min="8" max="8" width="12.28515625" style="4" customWidth="1"/>
    <col min="9" max="48" width="9" style="4" customWidth="1"/>
    <col min="49" max="49" width="9" style="4"/>
    <col min="50" max="50" width="15.85546875" style="4" bestFit="1" customWidth="1"/>
    <col min="51" max="538" width="9" style="4"/>
    <col min="539" max="539" width="22.5703125" style="4" customWidth="1"/>
    <col min="540" max="16384" width="9" style="4"/>
  </cols>
  <sheetData>
    <row r="1" spans="1:54" ht="24" customHeight="1" x14ac:dyDescent="0.25">
      <c r="A1" s="94" t="s">
        <v>15</v>
      </c>
      <c r="B1" s="95"/>
      <c r="C1" s="95"/>
      <c r="D1" s="95"/>
      <c r="E1" s="24" t="s">
        <v>40</v>
      </c>
      <c r="F1" s="25"/>
      <c r="G1" s="2"/>
      <c r="H1" s="2"/>
      <c r="I1" s="1"/>
      <c r="AW1" s="5">
        <f t="shared" ref="AW1:AW8" si="0">D5*100</f>
        <v>100</v>
      </c>
      <c r="AX1" s="6">
        <f t="shared" ref="AX1:AX8" si="1">IF(B5=0,0,1)</f>
        <v>1</v>
      </c>
      <c r="AY1" s="6">
        <f t="shared" ref="AY1" si="2">IF(AY34,0,1)</f>
        <v>1</v>
      </c>
      <c r="AZ1" s="6"/>
    </row>
    <row r="2" spans="1:54" ht="24" customHeight="1" x14ac:dyDescent="0.25">
      <c r="A2" s="96"/>
      <c r="B2" s="97"/>
      <c r="C2" s="97"/>
      <c r="D2" s="97"/>
      <c r="E2" s="26" t="s">
        <v>0</v>
      </c>
      <c r="F2" s="27"/>
      <c r="G2" s="74"/>
      <c r="H2" s="74"/>
      <c r="I2" s="1"/>
      <c r="AW2" s="5">
        <f t="shared" si="0"/>
        <v>100</v>
      </c>
      <c r="AX2" s="6">
        <f t="shared" si="1"/>
        <v>1</v>
      </c>
      <c r="AY2" s="6">
        <f>IF(AY36,0,1)</f>
        <v>1</v>
      </c>
      <c r="AZ2" s="6"/>
    </row>
    <row r="3" spans="1:54" ht="24" customHeight="1" x14ac:dyDescent="0.25">
      <c r="A3" s="98" t="s">
        <v>22</v>
      </c>
      <c r="B3" s="99" t="s">
        <v>23</v>
      </c>
      <c r="C3" s="100" t="s">
        <v>19</v>
      </c>
      <c r="D3" s="100" t="s">
        <v>20</v>
      </c>
      <c r="E3" s="99" t="s">
        <v>3</v>
      </c>
      <c r="F3" s="101"/>
      <c r="G3" s="2"/>
      <c r="H3" s="2"/>
      <c r="I3" s="1"/>
      <c r="AW3" s="5">
        <f t="shared" si="0"/>
        <v>100</v>
      </c>
      <c r="AX3" s="6">
        <f t="shared" si="1"/>
        <v>1</v>
      </c>
      <c r="AY3" s="6">
        <f>IF(AY37,0,1)</f>
        <v>1</v>
      </c>
      <c r="AZ3" s="6"/>
    </row>
    <row r="4" spans="1:54" ht="24" customHeight="1" x14ac:dyDescent="0.25">
      <c r="A4" s="98"/>
      <c r="B4" s="99"/>
      <c r="C4" s="100"/>
      <c r="D4" s="100"/>
      <c r="E4" s="28" t="s">
        <v>4</v>
      </c>
      <c r="F4" s="29" t="s">
        <v>14</v>
      </c>
      <c r="G4" s="7"/>
      <c r="H4" s="7"/>
      <c r="I4" s="7"/>
      <c r="AW4" s="5">
        <f t="shared" si="0"/>
        <v>100</v>
      </c>
      <c r="AX4" s="6">
        <f t="shared" si="1"/>
        <v>1</v>
      </c>
      <c r="AY4" s="6">
        <f>IF(AY38,0,1)</f>
        <v>1</v>
      </c>
      <c r="AZ4" s="6"/>
    </row>
    <row r="5" spans="1:54" ht="32.25" customHeight="1" x14ac:dyDescent="0.25">
      <c r="A5" s="30" t="s">
        <v>5</v>
      </c>
      <c r="B5" s="31">
        <v>100</v>
      </c>
      <c r="C5" s="31">
        <v>100</v>
      </c>
      <c r="D5" s="70">
        <f t="shared" ref="D5:D15" si="3">IF(C5=0,0,C5/B5)</f>
        <v>1</v>
      </c>
      <c r="E5" s="32"/>
      <c r="F5" s="33"/>
      <c r="G5" s="7"/>
      <c r="H5" s="7"/>
      <c r="I5" s="74" t="s">
        <v>78</v>
      </c>
      <c r="AW5" s="5">
        <f t="shared" si="0"/>
        <v>100</v>
      </c>
      <c r="AX5" s="6">
        <f t="shared" si="1"/>
        <v>1</v>
      </c>
      <c r="AY5" s="6">
        <f>IF(AY39,0,1)</f>
        <v>1</v>
      </c>
      <c r="AZ5" s="6"/>
    </row>
    <row r="6" spans="1:54" ht="32.25" customHeight="1" x14ac:dyDescent="0.25">
      <c r="A6" s="30" t="s">
        <v>6</v>
      </c>
      <c r="B6" s="31">
        <v>100</v>
      </c>
      <c r="C6" s="31">
        <v>100</v>
      </c>
      <c r="D6" s="71">
        <f t="shared" si="3"/>
        <v>1</v>
      </c>
      <c r="E6" s="32"/>
      <c r="F6" s="33"/>
      <c r="G6" s="7"/>
      <c r="H6" s="7"/>
      <c r="I6" s="74"/>
      <c r="AW6" s="5">
        <f t="shared" si="0"/>
        <v>100</v>
      </c>
      <c r="AX6" s="6">
        <f t="shared" si="1"/>
        <v>1</v>
      </c>
      <c r="AY6" s="6">
        <f>IF(AY41,0,1)</f>
        <v>1</v>
      </c>
      <c r="AZ6" s="6"/>
    </row>
    <row r="7" spans="1:54" ht="32.25" customHeight="1" x14ac:dyDescent="0.25">
      <c r="A7" s="30" t="s">
        <v>7</v>
      </c>
      <c r="B7" s="31">
        <v>100</v>
      </c>
      <c r="C7" s="31">
        <v>100</v>
      </c>
      <c r="D7" s="71">
        <f t="shared" si="3"/>
        <v>1</v>
      </c>
      <c r="E7" s="32"/>
      <c r="F7" s="33"/>
      <c r="G7" s="7"/>
      <c r="H7" s="7"/>
      <c r="I7" s="7"/>
      <c r="AW7" s="5">
        <f t="shared" si="0"/>
        <v>100</v>
      </c>
      <c r="AX7" s="6">
        <f t="shared" si="1"/>
        <v>1</v>
      </c>
      <c r="AY7" s="6">
        <f>IF(BC41,0,1)</f>
        <v>1</v>
      </c>
      <c r="AZ7" s="6"/>
    </row>
    <row r="8" spans="1:54" ht="32.25" customHeight="1" x14ac:dyDescent="0.25">
      <c r="A8" s="30" t="s">
        <v>8</v>
      </c>
      <c r="B8" s="31">
        <v>100</v>
      </c>
      <c r="C8" s="31">
        <v>100</v>
      </c>
      <c r="D8" s="71">
        <f t="shared" si="3"/>
        <v>1</v>
      </c>
      <c r="E8" s="32"/>
      <c r="F8" s="33"/>
      <c r="G8" s="7"/>
      <c r="H8" s="7"/>
      <c r="I8" s="7"/>
      <c r="AW8" s="5">
        <f t="shared" si="0"/>
        <v>100</v>
      </c>
      <c r="AX8" s="6">
        <f t="shared" si="1"/>
        <v>1</v>
      </c>
      <c r="AY8" s="6"/>
      <c r="AZ8" s="6"/>
    </row>
    <row r="9" spans="1:54" ht="32.25" customHeight="1" x14ac:dyDescent="0.25">
      <c r="A9" s="30" t="s">
        <v>9</v>
      </c>
      <c r="B9" s="31">
        <v>100</v>
      </c>
      <c r="C9" s="31">
        <v>100</v>
      </c>
      <c r="D9" s="71">
        <f t="shared" si="3"/>
        <v>1</v>
      </c>
      <c r="E9" s="32"/>
      <c r="F9" s="33"/>
      <c r="G9" s="7"/>
      <c r="H9" s="7"/>
      <c r="I9" s="7"/>
      <c r="AW9" s="6">
        <f>D13*100</f>
        <v>100</v>
      </c>
      <c r="AX9" s="6">
        <v>2</v>
      </c>
      <c r="AY9" s="6"/>
      <c r="AZ9" s="6"/>
    </row>
    <row r="10" spans="1:54" ht="32.25" customHeight="1" x14ac:dyDescent="0.25">
      <c r="A10" s="30" t="s">
        <v>10</v>
      </c>
      <c r="B10" s="31">
        <v>100</v>
      </c>
      <c r="C10" s="31">
        <v>100</v>
      </c>
      <c r="D10" s="71">
        <f t="shared" si="3"/>
        <v>1</v>
      </c>
      <c r="E10" s="32"/>
      <c r="F10" s="33"/>
      <c r="G10" s="7"/>
      <c r="H10" s="7"/>
      <c r="I10" s="7"/>
      <c r="AW10" s="4">
        <f>F30*100</f>
        <v>100</v>
      </c>
      <c r="AX10" s="4">
        <f>IF(B13=0,0,1)</f>
        <v>1</v>
      </c>
    </row>
    <row r="11" spans="1:54" ht="32.25" customHeight="1" x14ac:dyDescent="0.25">
      <c r="A11" s="30" t="s">
        <v>11</v>
      </c>
      <c r="B11" s="31">
        <v>100</v>
      </c>
      <c r="C11" s="31">
        <v>100</v>
      </c>
      <c r="D11" s="71">
        <f t="shared" si="3"/>
        <v>1</v>
      </c>
      <c r="E11" s="32"/>
      <c r="F11" s="33"/>
      <c r="G11" s="7"/>
      <c r="H11" s="7"/>
      <c r="I11" s="7"/>
    </row>
    <row r="12" spans="1:54" ht="32.25" customHeight="1" x14ac:dyDescent="0.25">
      <c r="A12" s="30" t="s">
        <v>47</v>
      </c>
      <c r="B12" s="31">
        <v>100</v>
      </c>
      <c r="C12" s="31">
        <v>100</v>
      </c>
      <c r="D12" s="71">
        <f t="shared" si="3"/>
        <v>1</v>
      </c>
      <c r="E12" s="32"/>
      <c r="F12" s="33"/>
      <c r="G12" s="7"/>
      <c r="H12" s="7"/>
      <c r="I12" s="7"/>
    </row>
    <row r="13" spans="1:54" ht="32.25" customHeight="1" x14ac:dyDescent="0.25">
      <c r="A13" s="30" t="s">
        <v>48</v>
      </c>
      <c r="B13" s="31">
        <v>100</v>
      </c>
      <c r="C13" s="31">
        <v>100</v>
      </c>
      <c r="D13" s="71">
        <f>IF(C13=0,0,C13/B13)</f>
        <v>1</v>
      </c>
      <c r="E13" s="32"/>
      <c r="F13" s="33"/>
      <c r="G13" s="7"/>
      <c r="H13" s="7"/>
      <c r="I13" s="7"/>
    </row>
    <row r="14" spans="1:54" ht="32.25" customHeight="1" x14ac:dyDescent="0.25">
      <c r="A14" s="30" t="s">
        <v>76</v>
      </c>
      <c r="B14" s="31">
        <v>25</v>
      </c>
      <c r="C14" s="31">
        <v>5</v>
      </c>
      <c r="D14" s="71">
        <f>IF(C14=0,0,C14/B14)</f>
        <v>0.2</v>
      </c>
      <c r="E14" s="32"/>
      <c r="F14" s="33"/>
      <c r="G14" s="7"/>
      <c r="H14" s="7"/>
      <c r="I14" s="7"/>
    </row>
    <row r="15" spans="1:54" ht="24" customHeight="1" x14ac:dyDescent="0.25">
      <c r="A15" s="30" t="s">
        <v>75</v>
      </c>
      <c r="B15" s="31">
        <v>100</v>
      </c>
      <c r="C15" s="31">
        <v>80</v>
      </c>
      <c r="D15" s="71">
        <f>IF(C15=0,0,C15/B15)</f>
        <v>0.8</v>
      </c>
      <c r="E15" s="32"/>
      <c r="F15" s="33"/>
      <c r="G15" s="1"/>
      <c r="H15" s="1"/>
      <c r="I15" s="7"/>
    </row>
    <row r="16" spans="1:54" ht="24.75" customHeight="1" x14ac:dyDescent="0.25">
      <c r="A16" s="90"/>
      <c r="B16" s="91"/>
      <c r="C16" s="91"/>
      <c r="D16" s="91"/>
      <c r="E16" s="91"/>
      <c r="F16" s="92"/>
      <c r="G16" s="8"/>
      <c r="H16" s="7"/>
      <c r="I16" s="7"/>
      <c r="AX16" s="4" t="b">
        <v>1</v>
      </c>
      <c r="AY16" s="4">
        <f>IF(BB16,50,0)</f>
        <v>50</v>
      </c>
      <c r="AZ16" s="4">
        <f>IF(AY41,0,AY16)</f>
        <v>50</v>
      </c>
      <c r="BB16" s="4" t="b">
        <v>1</v>
      </c>
    </row>
    <row r="17" spans="1:59" ht="24.75" customHeight="1" x14ac:dyDescent="0.25">
      <c r="A17" s="84" t="s">
        <v>50</v>
      </c>
      <c r="B17" s="34"/>
      <c r="C17" s="93" t="s">
        <v>21</v>
      </c>
      <c r="D17" s="35"/>
      <c r="E17" s="87" t="s">
        <v>24</v>
      </c>
      <c r="F17" s="36"/>
      <c r="G17" s="8"/>
      <c r="H17" s="7"/>
      <c r="I17" s="1"/>
      <c r="AX17" s="4" t="b">
        <v>1</v>
      </c>
      <c r="AY17" s="4">
        <f>IF(BB17,50,0)</f>
        <v>50</v>
      </c>
      <c r="AZ17" s="4">
        <f>IF(AY41,0,AY17)</f>
        <v>50</v>
      </c>
      <c r="BB17" s="4" t="b">
        <v>1</v>
      </c>
    </row>
    <row r="18" spans="1:59" ht="24.75" customHeight="1" x14ac:dyDescent="0.25">
      <c r="A18" s="85"/>
      <c r="B18" s="37"/>
      <c r="C18" s="93"/>
      <c r="D18" s="35"/>
      <c r="E18" s="88"/>
      <c r="F18" s="36"/>
      <c r="G18" s="8"/>
      <c r="H18" s="7"/>
      <c r="I18" s="7"/>
      <c r="AX18" s="4">
        <f>IF(AY41,0,AY16+AY17)</f>
        <v>100</v>
      </c>
    </row>
    <row r="19" spans="1:59" ht="24.75" customHeight="1" x14ac:dyDescent="0.25">
      <c r="A19" s="85"/>
      <c r="B19" s="37"/>
      <c r="C19" s="93"/>
      <c r="D19" s="35"/>
      <c r="E19" s="88"/>
      <c r="F19" s="38"/>
      <c r="G19" s="9"/>
      <c r="H19" s="7"/>
      <c r="I19" s="7"/>
    </row>
    <row r="20" spans="1:59" ht="24.75" customHeight="1" x14ac:dyDescent="0.25">
      <c r="A20" s="85"/>
      <c r="B20" s="39"/>
      <c r="C20" s="93"/>
      <c r="D20" s="35"/>
      <c r="E20" s="89"/>
      <c r="F20" s="40">
        <f>AX18</f>
        <v>100</v>
      </c>
      <c r="G20" s="7"/>
      <c r="H20" s="7"/>
      <c r="I20" s="7"/>
      <c r="AX20" s="6" t="b">
        <v>1</v>
      </c>
      <c r="AY20" s="6"/>
      <c r="AZ20" s="6"/>
      <c r="BA20" s="6">
        <f>IF(AX20,25,0)</f>
        <v>25</v>
      </c>
      <c r="BB20" s="6"/>
      <c r="BC20" s="6"/>
    </row>
    <row r="21" spans="1:59" ht="24.75" customHeight="1" x14ac:dyDescent="0.25">
      <c r="A21" s="85"/>
      <c r="B21" s="41">
        <f>BA23+BA22+BA21+BA20</f>
        <v>100</v>
      </c>
      <c r="C21" s="87"/>
      <c r="D21" s="42">
        <f>AZ34</f>
        <v>100</v>
      </c>
      <c r="E21" s="43"/>
      <c r="F21" s="44"/>
      <c r="G21" s="7"/>
      <c r="H21" s="7"/>
      <c r="I21" s="7"/>
      <c r="AX21" s="6" t="b">
        <v>1</v>
      </c>
      <c r="AY21" s="6"/>
      <c r="AZ21" s="6"/>
      <c r="BA21" s="6">
        <f>IF(AX21,25,0)</f>
        <v>25</v>
      </c>
      <c r="BB21" s="6"/>
      <c r="BC21" s="6"/>
    </row>
    <row r="22" spans="1:59" ht="24.75" customHeight="1" x14ac:dyDescent="0.25">
      <c r="A22" s="90"/>
      <c r="B22" s="91"/>
      <c r="C22" s="91"/>
      <c r="D22" s="91"/>
      <c r="E22" s="91"/>
      <c r="F22" s="92"/>
      <c r="G22" s="7"/>
      <c r="H22" s="1"/>
      <c r="I22" s="7"/>
      <c r="AX22" s="6" t="b">
        <v>1</v>
      </c>
      <c r="AY22" s="6"/>
      <c r="AZ22" s="6"/>
      <c r="BA22" s="6">
        <f>IF(AX22,25,0)</f>
        <v>25</v>
      </c>
      <c r="BB22" s="6"/>
      <c r="BC22" s="6"/>
    </row>
    <row r="23" spans="1:59" ht="24.75" customHeight="1" x14ac:dyDescent="0.25">
      <c r="A23" s="84" t="s">
        <v>26</v>
      </c>
      <c r="B23" s="45"/>
      <c r="C23" s="87" t="s">
        <v>51</v>
      </c>
      <c r="D23" s="46"/>
      <c r="E23" s="87" t="s">
        <v>25</v>
      </c>
      <c r="F23" s="47"/>
      <c r="G23" s="7"/>
      <c r="H23" s="1"/>
      <c r="I23" s="7"/>
      <c r="AX23" s="6" t="b">
        <v>1</v>
      </c>
      <c r="AY23" s="6"/>
      <c r="AZ23" s="6"/>
      <c r="BA23" s="6">
        <f>IF(AX23,25,0)</f>
        <v>25</v>
      </c>
      <c r="BB23" s="6"/>
      <c r="BC23" s="6"/>
    </row>
    <row r="24" spans="1:59" ht="24.75" customHeight="1" x14ac:dyDescent="0.25">
      <c r="A24" s="85"/>
      <c r="B24" s="45"/>
      <c r="C24" s="88"/>
      <c r="D24" s="35"/>
      <c r="E24" s="88"/>
      <c r="F24" s="38"/>
      <c r="G24" s="7"/>
      <c r="H24" s="1"/>
      <c r="I24" s="7"/>
      <c r="AX24" s="6" t="b">
        <v>1</v>
      </c>
      <c r="AY24" s="6">
        <f>IF(AX24,50,0)</f>
        <v>50</v>
      </c>
      <c r="AZ24" s="6">
        <f>IF(AY34,0,AY24)</f>
        <v>50</v>
      </c>
      <c r="BA24" s="6"/>
      <c r="BB24" s="6"/>
      <c r="BC24" s="6"/>
      <c r="BE24" s="4">
        <f>IF(BC41,0,BF24)</f>
        <v>100</v>
      </c>
      <c r="BF24" s="4">
        <f>IF(BG24,100,0)</f>
        <v>100</v>
      </c>
      <c r="BG24" s="4" t="b">
        <v>1</v>
      </c>
    </row>
    <row r="25" spans="1:59" ht="24.75" customHeight="1" x14ac:dyDescent="0.25">
      <c r="A25" s="85"/>
      <c r="B25" s="45"/>
      <c r="C25" s="88"/>
      <c r="D25" s="35"/>
      <c r="E25" s="89"/>
      <c r="F25" s="48">
        <f>BA31</f>
        <v>100</v>
      </c>
      <c r="G25" s="2"/>
      <c r="H25" s="7"/>
      <c r="I25" s="7"/>
      <c r="AX25" s="6" t="b">
        <v>1</v>
      </c>
      <c r="AY25" s="6">
        <f>IF(AX25,50,0)</f>
        <v>50</v>
      </c>
      <c r="AZ25" s="6">
        <f>IF(AY34,0,AY25)</f>
        <v>50</v>
      </c>
      <c r="BA25" s="6"/>
      <c r="BB25" s="6"/>
      <c r="BC25" s="6"/>
    </row>
    <row r="26" spans="1:59" ht="24.75" customHeight="1" x14ac:dyDescent="0.25">
      <c r="A26" s="86"/>
      <c r="B26" s="49">
        <f>AX26</f>
        <v>100</v>
      </c>
      <c r="C26" s="89"/>
      <c r="D26" s="42">
        <f>AX29</f>
        <v>100</v>
      </c>
      <c r="E26" s="43"/>
      <c r="F26" s="44"/>
      <c r="G26" s="2"/>
      <c r="H26" s="2"/>
      <c r="I26" s="7"/>
      <c r="AX26" s="4">
        <f>IF(AY34,0,AY24+AY25)</f>
        <v>100</v>
      </c>
      <c r="AY26" s="6"/>
      <c r="AZ26" s="6"/>
      <c r="BA26" s="6"/>
      <c r="BB26" s="6"/>
      <c r="BC26" s="6"/>
      <c r="BE26" s="4">
        <f>IF(BC41,0,BF24)</f>
        <v>100</v>
      </c>
    </row>
    <row r="27" spans="1:59" ht="24.75" customHeight="1" x14ac:dyDescent="0.25">
      <c r="A27" s="81"/>
      <c r="B27" s="82"/>
      <c r="C27" s="82"/>
      <c r="D27" s="82"/>
      <c r="E27" s="82"/>
      <c r="F27" s="83"/>
      <c r="G27" s="2"/>
      <c r="H27" s="2"/>
      <c r="I27" s="7"/>
      <c r="AX27" s="6" t="b">
        <v>1</v>
      </c>
      <c r="AY27" s="6">
        <f>IF(AX27,50,0)</f>
        <v>50</v>
      </c>
      <c r="AZ27" s="6">
        <f>IF(AY36,0,AY27)</f>
        <v>50</v>
      </c>
      <c r="BA27" s="6"/>
      <c r="BB27" s="6"/>
      <c r="BC27" s="6"/>
    </row>
    <row r="28" spans="1:59" ht="24.75" customHeight="1" x14ac:dyDescent="0.25">
      <c r="A28" s="84" t="s">
        <v>41</v>
      </c>
      <c r="B28" s="50"/>
      <c r="C28" s="87" t="s">
        <v>42</v>
      </c>
      <c r="D28" s="45"/>
      <c r="E28" s="51" t="s">
        <v>18</v>
      </c>
      <c r="F28" s="52">
        <v>59</v>
      </c>
      <c r="G28" s="2"/>
      <c r="H28" s="2"/>
      <c r="I28" s="7"/>
      <c r="AX28" s="6" t="b">
        <v>1</v>
      </c>
      <c r="AY28" s="6">
        <f>IF(AX28,50,0)</f>
        <v>50</v>
      </c>
      <c r="AZ28" s="6">
        <f>IF(AY36,0,AY28)</f>
        <v>50</v>
      </c>
      <c r="BA28" s="6"/>
      <c r="BB28" s="6"/>
      <c r="BC28" s="6"/>
    </row>
    <row r="29" spans="1:59" ht="30.75" customHeight="1" x14ac:dyDescent="0.25">
      <c r="A29" s="85"/>
      <c r="B29" s="50"/>
      <c r="C29" s="88"/>
      <c r="D29" s="45"/>
      <c r="E29" s="79" t="str">
        <f>IF(F28&gt;89,"Excellent",AU40)</f>
        <v>Error</v>
      </c>
      <c r="F29" s="80"/>
      <c r="G29" s="2"/>
      <c r="H29" s="2"/>
      <c r="I29" s="7"/>
      <c r="AX29" s="4">
        <f>IF(AY36,0,AY28+AY27)</f>
        <v>100</v>
      </c>
      <c r="AY29" s="6"/>
      <c r="AZ29" s="6"/>
      <c r="BA29" s="6"/>
      <c r="BB29" s="6"/>
      <c r="BC29" s="6"/>
    </row>
    <row r="30" spans="1:59" ht="24.75" customHeight="1" x14ac:dyDescent="0.25">
      <c r="A30" s="86"/>
      <c r="B30" s="31">
        <f>BA30</f>
        <v>100</v>
      </c>
      <c r="C30" s="89"/>
      <c r="D30" s="31">
        <f>BE26</f>
        <v>100</v>
      </c>
      <c r="E30" s="51" t="s">
        <v>43</v>
      </c>
      <c r="F30" s="53">
        <v>1</v>
      </c>
      <c r="G30" s="2"/>
      <c r="H30" s="2"/>
      <c r="I30" s="7"/>
      <c r="AX30" s="6" t="b">
        <v>1</v>
      </c>
      <c r="AY30" s="6" t="b">
        <v>1</v>
      </c>
      <c r="AZ30" s="6">
        <f>IF(AY30,25,0)</f>
        <v>25</v>
      </c>
      <c r="BA30" s="6">
        <f>IF(AY37,0,BB30)</f>
        <v>100</v>
      </c>
      <c r="BB30" s="6">
        <f>IF(AX30,100,0)</f>
        <v>100</v>
      </c>
      <c r="BC30" s="6"/>
    </row>
    <row r="31" spans="1:59" ht="24.75" customHeight="1" x14ac:dyDescent="0.25">
      <c r="A31" s="102"/>
      <c r="B31" s="103"/>
      <c r="C31" s="104"/>
      <c r="D31" s="87" t="s">
        <v>77</v>
      </c>
      <c r="E31" s="46"/>
      <c r="F31" s="105"/>
      <c r="G31" s="7"/>
      <c r="H31" s="7"/>
      <c r="I31" s="7"/>
      <c r="AX31" s="6" t="b">
        <v>1</v>
      </c>
      <c r="AY31" s="6" t="b">
        <v>1</v>
      </c>
      <c r="AZ31" s="6">
        <f>IF(AY31,25,0)</f>
        <v>25</v>
      </c>
      <c r="BA31" s="6">
        <f>IF(AY38,0,BB31)</f>
        <v>100</v>
      </c>
      <c r="BB31" s="6">
        <f>IF(AX31,100,0)</f>
        <v>100</v>
      </c>
      <c r="BC31" s="6"/>
    </row>
    <row r="32" spans="1:59" ht="24.75" customHeight="1" x14ac:dyDescent="0.25">
      <c r="A32" s="102" t="s">
        <v>73</v>
      </c>
      <c r="B32" s="103"/>
      <c r="C32" s="104"/>
      <c r="D32" s="88"/>
      <c r="E32" s="35"/>
      <c r="F32" s="105"/>
      <c r="G32" s="7"/>
      <c r="H32" s="7"/>
      <c r="I32" s="7"/>
      <c r="AX32" s="6">
        <f>AX1+AX2+AX3+AX4+AX5+AX6+AX7+AX8+AX9+AX10+AS21+AY1+AY2+AY3+AY4+AY5+AY6+AY7</f>
        <v>18</v>
      </c>
      <c r="AY32" s="6" t="b">
        <v>1</v>
      </c>
      <c r="AZ32" s="6">
        <f>IF(AY32,25,0)</f>
        <v>25</v>
      </c>
      <c r="BA32" s="6"/>
      <c r="BB32" s="6"/>
      <c r="BC32" s="6"/>
    </row>
    <row r="33" spans="1:55" x14ac:dyDescent="0.25">
      <c r="A33" s="102" t="s">
        <v>74</v>
      </c>
      <c r="B33" s="103"/>
      <c r="C33" s="104"/>
      <c r="D33" s="88"/>
      <c r="E33" s="42" t="b">
        <f>AY38</f>
        <v>0</v>
      </c>
      <c r="F33" s="105"/>
      <c r="G33" s="7"/>
      <c r="H33" s="7"/>
      <c r="I33" s="7"/>
      <c r="AX33" s="6" t="str">
        <f>IF(B36&gt;80,"Good",AX34)</f>
        <v>Good</v>
      </c>
      <c r="AY33" s="6" t="b">
        <v>1</v>
      </c>
      <c r="AZ33" s="6">
        <f>IF(AY33,25,0)</f>
        <v>25</v>
      </c>
      <c r="BA33" s="6"/>
      <c r="BB33" s="6"/>
      <c r="BC33" s="6"/>
    </row>
    <row r="34" spans="1:55" x14ac:dyDescent="0.25">
      <c r="A34" s="54"/>
      <c r="B34" s="43"/>
      <c r="C34" s="43"/>
      <c r="D34" s="89"/>
      <c r="F34" s="55"/>
      <c r="G34" s="7"/>
      <c r="H34" s="7"/>
      <c r="I34" s="10"/>
      <c r="AX34" s="6" t="str">
        <f>IF(B36&gt;60,"Satisfactory",AX36)</f>
        <v>Satisfactory</v>
      </c>
      <c r="AY34" s="6" t="b">
        <v>0</v>
      </c>
      <c r="AZ34" s="6">
        <f>AZ30+AZ31+AZ32+AZ33</f>
        <v>100</v>
      </c>
      <c r="BA34" s="6"/>
      <c r="BB34" s="6"/>
      <c r="BC34" s="6"/>
    </row>
    <row r="35" spans="1:55" ht="58.5" customHeight="1" x14ac:dyDescent="0.25">
      <c r="A35" s="54"/>
      <c r="B35" s="43"/>
      <c r="C35" s="43"/>
      <c r="D35" s="104"/>
      <c r="E35" s="41"/>
      <c r="F35" s="55"/>
      <c r="G35" s="7"/>
      <c r="H35" s="7"/>
      <c r="I35" s="10"/>
      <c r="AX35" s="6"/>
      <c r="AY35" s="6"/>
      <c r="AZ35" s="6"/>
      <c r="BA35" s="6"/>
      <c r="BB35" s="6"/>
      <c r="BC35" s="6"/>
    </row>
    <row r="36" spans="1:55" ht="58.5" customHeight="1" x14ac:dyDescent="0.25">
      <c r="A36" s="56" t="s">
        <v>13</v>
      </c>
      <c r="B36" s="57">
        <f>(AW1+AW2+AW3+AW4+AW5+AW6+AW7+AW8+AW9+B21+D21+B26+F20+D26+B30+D30+F25+AW10)/AX32</f>
        <v>100</v>
      </c>
      <c r="C36" s="43"/>
      <c r="D36" s="43"/>
      <c r="E36" s="58" t="s">
        <v>16</v>
      </c>
      <c r="F36" s="59" t="str">
        <f>IF(B36&gt;90,"Excellent",AX33)</f>
        <v>Excellent</v>
      </c>
      <c r="G36" s="7"/>
      <c r="H36" s="7"/>
      <c r="I36" s="7"/>
      <c r="AX36" s="6" t="str">
        <f>IF(B36&gt;50,"Fair",AX38)</f>
        <v>Fair</v>
      </c>
      <c r="AY36" s="6" t="b">
        <v>0</v>
      </c>
      <c r="AZ36" s="6"/>
      <c r="BA36" s="6"/>
      <c r="BB36" s="6"/>
      <c r="BC36" s="6"/>
    </row>
    <row r="37" spans="1:55" ht="24.75" customHeight="1" x14ac:dyDescent="0.25">
      <c r="A37" s="54"/>
      <c r="B37" s="43"/>
      <c r="C37" s="43"/>
      <c r="D37" s="43"/>
      <c r="E37" s="60"/>
      <c r="F37" s="61"/>
      <c r="G37" s="7"/>
      <c r="H37" s="7"/>
      <c r="I37" s="7"/>
      <c r="AX37" s="6"/>
      <c r="AY37" s="6" t="b">
        <v>0</v>
      </c>
      <c r="AZ37" s="6"/>
      <c r="BA37" s="6"/>
      <c r="BB37" s="6"/>
      <c r="BC37" s="6"/>
    </row>
    <row r="38" spans="1:55" ht="24.75" customHeight="1" x14ac:dyDescent="0.25">
      <c r="A38" s="62" t="s">
        <v>1</v>
      </c>
      <c r="B38" s="63"/>
      <c r="C38" s="64"/>
      <c r="D38" s="64"/>
      <c r="E38" s="64"/>
      <c r="F38" s="65"/>
      <c r="G38" s="7"/>
      <c r="H38" s="7"/>
      <c r="I38" s="7"/>
      <c r="AX38" s="6" t="str">
        <f>IF(B36&lt;50,"Unsatisfactory","Unsatisfactory")</f>
        <v>Unsatisfactory</v>
      </c>
      <c r="AY38" s="6" t="b">
        <v>0</v>
      </c>
      <c r="AZ38" s="6"/>
      <c r="BA38" s="6"/>
      <c r="BB38" s="6"/>
      <c r="BC38" s="6"/>
    </row>
    <row r="39" spans="1:55" ht="24.75" customHeight="1" x14ac:dyDescent="0.25">
      <c r="A39" s="62" t="s">
        <v>2</v>
      </c>
      <c r="B39" s="63"/>
      <c r="C39" s="64"/>
      <c r="D39" s="64"/>
      <c r="E39" s="64"/>
      <c r="F39" s="65"/>
      <c r="G39" s="11"/>
      <c r="H39" s="11"/>
      <c r="I39" s="7"/>
      <c r="AX39" s="6"/>
      <c r="AY39" s="6" t="b">
        <v>0</v>
      </c>
      <c r="AZ39" s="6"/>
      <c r="BA39" s="6"/>
      <c r="BB39" s="6"/>
      <c r="BC39" s="6"/>
    </row>
    <row r="40" spans="1:55" ht="24.75" customHeight="1" thickBot="1" x14ac:dyDescent="0.3">
      <c r="A40" s="66" t="s">
        <v>17</v>
      </c>
      <c r="B40" s="67"/>
      <c r="C40" s="68"/>
      <c r="D40" s="68"/>
      <c r="E40" s="68"/>
      <c r="F40" s="69"/>
      <c r="G40" s="11"/>
      <c r="H40" s="11"/>
      <c r="I40" s="7"/>
      <c r="AU40" s="4" t="str">
        <f>IF(F28&gt;80,"Very Good",AU41)</f>
        <v>Error</v>
      </c>
      <c r="AX40" s="6"/>
      <c r="AY40" s="4" t="b">
        <v>0</v>
      </c>
    </row>
    <row r="41" spans="1:55" ht="24.75" customHeight="1" x14ac:dyDescent="0.25">
      <c r="G41" s="11"/>
      <c r="H41" s="11"/>
      <c r="I41" s="7"/>
      <c r="AU41" s="4" t="str">
        <f>IF(F28&gt;69,"Good",AU42)</f>
        <v>Error</v>
      </c>
      <c r="AW41" s="6" t="s">
        <v>12</v>
      </c>
      <c r="AX41" s="12">
        <f>IF(B5=0,AW43,D5)</f>
        <v>1</v>
      </c>
      <c r="AY41" s="4" t="b">
        <v>0</v>
      </c>
      <c r="AZ41" s="4" t="b">
        <v>0</v>
      </c>
      <c r="BC41" s="4" t="b">
        <v>0</v>
      </c>
    </row>
    <row r="42" spans="1:55" ht="24.75" customHeight="1" x14ac:dyDescent="0.25">
      <c r="G42" s="11"/>
      <c r="H42" s="11"/>
      <c r="I42" s="7"/>
      <c r="AU42" s="4" t="str">
        <f>IF(F28&gt;59,"Satisfactory",AU43)</f>
        <v>Error</v>
      </c>
      <c r="AX42" s="12">
        <f>IF(B6=0,AW41,D6)</f>
        <v>1</v>
      </c>
    </row>
    <row r="43" spans="1:55" ht="15" customHeight="1" x14ac:dyDescent="0.25">
      <c r="I43" s="7"/>
      <c r="AU43" s="4" t="str">
        <f>IF(F28&lt;59,"Unsatisfactory","Error")</f>
        <v>Error</v>
      </c>
      <c r="AX43" s="12">
        <f>IF(B7=0,AW41,D7)</f>
        <v>1</v>
      </c>
    </row>
    <row r="44" spans="1:55" x14ac:dyDescent="0.25">
      <c r="I44" s="7"/>
      <c r="AX44" s="12">
        <f>IF(B8=0,AW41,D8)</f>
        <v>1</v>
      </c>
    </row>
    <row r="45" spans="1:55" x14ac:dyDescent="0.25">
      <c r="A45" s="7"/>
      <c r="B45" s="7"/>
      <c r="C45" s="7"/>
      <c r="D45" s="7"/>
      <c r="E45" s="7"/>
      <c r="F45" s="7"/>
      <c r="I45" s="7"/>
      <c r="AX45" s="12">
        <f>IF(B9=0,AW41,D9)</f>
        <v>1</v>
      </c>
    </row>
    <row r="46" spans="1:55" x14ac:dyDescent="0.25">
      <c r="A46" s="7"/>
      <c r="B46" s="7"/>
      <c r="C46" s="7"/>
      <c r="D46" s="7"/>
      <c r="E46" s="7"/>
      <c r="F46" s="7"/>
      <c r="I46" s="7"/>
      <c r="AX46" s="12">
        <f>IF(B10=0,AW41,D10)</f>
        <v>1</v>
      </c>
    </row>
    <row r="47" spans="1:55" x14ac:dyDescent="0.25">
      <c r="A47" s="7"/>
      <c r="B47" s="7"/>
      <c r="C47" s="7"/>
      <c r="D47" s="7"/>
      <c r="E47" s="7"/>
      <c r="F47" s="7"/>
      <c r="G47" s="7"/>
      <c r="H47" s="7"/>
      <c r="I47" s="7"/>
      <c r="AX47" s="12">
        <f>IF(B11=0,AW41,D11)</f>
        <v>1</v>
      </c>
    </row>
    <row r="48" spans="1:55" x14ac:dyDescent="0.25">
      <c r="A48" s="7"/>
      <c r="B48" s="7"/>
      <c r="C48" s="7"/>
      <c r="D48" s="7"/>
      <c r="E48" s="7"/>
      <c r="F48" s="7"/>
      <c r="G48" s="7"/>
      <c r="H48" s="7"/>
      <c r="I48" s="7"/>
      <c r="AX48" s="12">
        <f>IF(B12=0,AW41,D12)</f>
        <v>1</v>
      </c>
    </row>
    <row r="49" spans="1:9" x14ac:dyDescent="0.25">
      <c r="A49" s="7"/>
      <c r="B49" s="7"/>
      <c r="C49" s="7"/>
      <c r="D49" s="7"/>
      <c r="E49" s="7"/>
      <c r="F49" s="7"/>
      <c r="G49" s="7"/>
      <c r="H49" s="7"/>
      <c r="I49" s="7"/>
    </row>
    <row r="50" spans="1:9" x14ac:dyDescent="0.25">
      <c r="A50" s="75"/>
      <c r="B50" s="75"/>
      <c r="C50" s="75"/>
      <c r="D50" s="75"/>
      <c r="E50" s="75"/>
      <c r="F50" s="7"/>
      <c r="G50" s="7"/>
      <c r="H50" s="7"/>
      <c r="I50" s="7"/>
    </row>
    <row r="51" spans="1:9" x14ac:dyDescent="0.25">
      <c r="A51" s="7"/>
      <c r="B51" s="1"/>
      <c r="C51" s="1"/>
      <c r="D51" s="1"/>
      <c r="E51" s="1"/>
      <c r="F51" s="1"/>
      <c r="G51" s="7"/>
      <c r="H51" s="7"/>
      <c r="I51" s="7"/>
    </row>
    <row r="52" spans="1:9" x14ac:dyDescent="0.25">
      <c r="A52" s="7"/>
      <c r="B52" s="1"/>
      <c r="C52" s="1"/>
      <c r="D52" s="1"/>
      <c r="E52" s="1"/>
      <c r="F52" s="1"/>
      <c r="G52" s="7"/>
      <c r="H52" s="7"/>
      <c r="I52" s="7"/>
    </row>
    <row r="53" spans="1:9" x14ac:dyDescent="0.25">
      <c r="A53" s="13"/>
      <c r="B53" s="1"/>
      <c r="C53" s="1"/>
      <c r="D53" s="1"/>
      <c r="E53" s="1"/>
      <c r="F53" s="1"/>
      <c r="G53" s="1"/>
      <c r="H53" s="1"/>
      <c r="I53" s="7"/>
    </row>
    <row r="54" spans="1:9" x14ac:dyDescent="0.25">
      <c r="A54" s="13"/>
      <c r="B54" s="1"/>
      <c r="C54" s="1"/>
      <c r="D54" s="1"/>
      <c r="E54" s="1"/>
      <c r="F54" s="1"/>
      <c r="G54" s="1"/>
      <c r="H54" s="1"/>
      <c r="I54" s="7"/>
    </row>
    <row r="55" spans="1:9" x14ac:dyDescent="0.25">
      <c r="A55" s="13"/>
      <c r="B55" s="7"/>
      <c r="C55" s="7"/>
      <c r="D55" s="7"/>
      <c r="E55" s="7"/>
      <c r="F55" s="7"/>
      <c r="G55" s="1"/>
      <c r="H55" s="1"/>
      <c r="I55" s="7"/>
    </row>
    <row r="56" spans="1:9" x14ac:dyDescent="0.25">
      <c r="A56" s="75"/>
      <c r="B56" s="78"/>
      <c r="C56" s="7"/>
      <c r="D56" s="7"/>
      <c r="E56" s="7"/>
      <c r="F56" s="7"/>
      <c r="G56" s="1"/>
      <c r="H56" s="1"/>
      <c r="I56" s="7"/>
    </row>
    <row r="57" spans="1:9" x14ac:dyDescent="0.25">
      <c r="A57" s="13"/>
      <c r="B57" s="1"/>
      <c r="C57" s="1"/>
      <c r="D57" s="1"/>
      <c r="E57" s="1"/>
      <c r="F57" s="1"/>
      <c r="G57" s="7"/>
      <c r="H57" s="7"/>
      <c r="I57" s="7"/>
    </row>
    <row r="58" spans="1:9" x14ac:dyDescent="0.25">
      <c r="A58" s="13"/>
      <c r="B58" s="1"/>
      <c r="C58" s="1"/>
      <c r="D58" s="1"/>
      <c r="E58" s="1"/>
      <c r="F58" s="1"/>
      <c r="G58" s="7"/>
      <c r="H58" s="7"/>
      <c r="I58" s="7"/>
    </row>
    <row r="59" spans="1:9" x14ac:dyDescent="0.25">
      <c r="A59" s="13"/>
      <c r="B59" s="1"/>
      <c r="C59" s="1"/>
      <c r="D59" s="1"/>
      <c r="E59" s="1"/>
      <c r="F59" s="1"/>
      <c r="G59" s="1"/>
      <c r="H59" s="1"/>
      <c r="I59" s="7"/>
    </row>
    <row r="60" spans="1:9" x14ac:dyDescent="0.25">
      <c r="A60" s="13"/>
      <c r="B60" s="1"/>
      <c r="C60" s="1"/>
      <c r="D60" s="1"/>
      <c r="E60" s="1"/>
      <c r="F60" s="1"/>
      <c r="G60" s="1"/>
      <c r="H60" s="1"/>
      <c r="I60" s="7"/>
    </row>
    <row r="61" spans="1:9" x14ac:dyDescent="0.25">
      <c r="A61" s="7"/>
      <c r="B61" s="7"/>
      <c r="C61" s="7"/>
      <c r="D61" s="7"/>
      <c r="E61" s="7"/>
      <c r="F61" s="7"/>
      <c r="G61" s="1"/>
      <c r="H61" s="1"/>
      <c r="I61" s="7"/>
    </row>
    <row r="62" spans="1:9" x14ac:dyDescent="0.25">
      <c r="A62" s="72"/>
      <c r="B62" s="72"/>
      <c r="C62" s="7"/>
      <c r="D62" s="7"/>
      <c r="E62" s="74"/>
      <c r="F62" s="7"/>
      <c r="G62" s="1"/>
      <c r="H62" s="1"/>
      <c r="I62" s="7"/>
    </row>
    <row r="63" spans="1:9" x14ac:dyDescent="0.25">
      <c r="A63" s="7"/>
      <c r="B63" s="7"/>
      <c r="C63" s="7"/>
      <c r="D63" s="7"/>
      <c r="E63" s="74"/>
      <c r="F63" s="7"/>
      <c r="G63" s="7"/>
      <c r="H63" s="7"/>
      <c r="I63" s="7"/>
    </row>
    <row r="64" spans="1:9" x14ac:dyDescent="0.25">
      <c r="A64" s="72"/>
      <c r="B64" s="72"/>
      <c r="C64" s="7"/>
      <c r="D64" s="7"/>
      <c r="E64" s="1"/>
      <c r="F64" s="1"/>
      <c r="G64" s="7"/>
      <c r="H64" s="7"/>
      <c r="I64" s="7"/>
    </row>
    <row r="65" spans="1:9" ht="25.5" customHeight="1" x14ac:dyDescent="0.25">
      <c r="A65" s="7"/>
      <c r="B65" s="7"/>
      <c r="C65" s="7"/>
      <c r="D65" s="7"/>
      <c r="E65" s="1"/>
      <c r="F65" s="1"/>
      <c r="G65" s="7"/>
      <c r="H65" s="7"/>
      <c r="I65" s="7"/>
    </row>
    <row r="66" spans="1:9" x14ac:dyDescent="0.25">
      <c r="A66" s="75"/>
      <c r="B66" s="75"/>
      <c r="C66" s="7"/>
      <c r="D66" s="7"/>
      <c r="E66" s="1"/>
      <c r="F66" s="1"/>
      <c r="G66" s="1"/>
      <c r="H66" s="7"/>
      <c r="I66" s="7"/>
    </row>
    <row r="67" spans="1:9" x14ac:dyDescent="0.25">
      <c r="A67" s="7"/>
      <c r="B67" s="7"/>
      <c r="C67" s="7"/>
      <c r="D67" s="7"/>
      <c r="E67" s="1"/>
      <c r="F67" s="14"/>
      <c r="G67" s="1"/>
      <c r="H67" s="7"/>
      <c r="I67" s="7"/>
    </row>
    <row r="68" spans="1:9" x14ac:dyDescent="0.25">
      <c r="A68" s="7"/>
      <c r="B68" s="7"/>
      <c r="C68" s="7"/>
      <c r="D68" s="7"/>
      <c r="E68" s="74"/>
      <c r="F68" s="77"/>
      <c r="G68" s="1"/>
      <c r="H68" s="7"/>
      <c r="I68" s="7"/>
    </row>
    <row r="69" spans="1:9" x14ac:dyDescent="0.25">
      <c r="A69" s="7"/>
      <c r="B69" s="7"/>
      <c r="C69" s="7"/>
      <c r="D69" s="7"/>
      <c r="E69" s="74"/>
      <c r="F69" s="77"/>
      <c r="G69" s="14"/>
      <c r="I69" s="7"/>
    </row>
    <row r="70" spans="1:9" x14ac:dyDescent="0.25">
      <c r="A70" s="72"/>
      <c r="B70" s="72"/>
      <c r="C70" s="7"/>
      <c r="D70" s="7"/>
      <c r="E70" s="1"/>
      <c r="F70" s="1"/>
      <c r="G70" s="7"/>
      <c r="H70" s="7"/>
      <c r="I70" s="7"/>
    </row>
    <row r="71" spans="1:9" x14ac:dyDescent="0.25">
      <c r="E71" s="14"/>
      <c r="G71" s="7"/>
      <c r="H71" s="7"/>
    </row>
    <row r="72" spans="1:9" x14ac:dyDescent="0.25">
      <c r="A72" s="75"/>
      <c r="B72" s="75"/>
      <c r="C72" s="7"/>
      <c r="D72" s="7"/>
      <c r="E72" s="7"/>
      <c r="F72" s="7"/>
      <c r="G72" s="1"/>
      <c r="H72" s="7"/>
      <c r="I72" s="7"/>
    </row>
    <row r="73" spans="1:9" x14ac:dyDescent="0.25">
      <c r="A73" s="7"/>
      <c r="B73" s="1"/>
      <c r="C73" s="1"/>
      <c r="D73" s="1"/>
      <c r="E73" s="1"/>
      <c r="F73" s="1"/>
      <c r="I73" s="7"/>
    </row>
    <row r="74" spans="1:9" x14ac:dyDescent="0.25">
      <c r="A74" s="7"/>
      <c r="B74" s="1"/>
      <c r="C74" s="1"/>
      <c r="D74" s="1"/>
      <c r="E74" s="1"/>
      <c r="F74" s="1"/>
      <c r="G74" s="7"/>
      <c r="H74" s="7"/>
      <c r="I74" s="7"/>
    </row>
    <row r="75" spans="1:9" x14ac:dyDescent="0.25">
      <c r="A75" s="7"/>
      <c r="B75" s="1"/>
      <c r="C75" s="1"/>
      <c r="D75" s="1"/>
      <c r="E75" s="1"/>
      <c r="F75" s="1"/>
      <c r="G75" s="1"/>
      <c r="H75" s="1"/>
    </row>
    <row r="76" spans="1:9" x14ac:dyDescent="0.25">
      <c r="A76" s="7"/>
      <c r="B76" s="1"/>
      <c r="C76" s="1"/>
      <c r="D76" s="1"/>
      <c r="E76" s="1"/>
      <c r="F76" s="1"/>
      <c r="G76" s="1"/>
      <c r="H76" s="1"/>
      <c r="I76" s="7"/>
    </row>
    <row r="77" spans="1:9" ht="15" customHeight="1" x14ac:dyDescent="0.25">
      <c r="A77" s="13"/>
      <c r="B77" s="7"/>
      <c r="C77" s="7"/>
      <c r="D77" s="7"/>
      <c r="E77" s="7"/>
      <c r="F77" s="7"/>
      <c r="G77" s="1"/>
      <c r="H77" s="1"/>
      <c r="I77" s="7"/>
    </row>
    <row r="78" spans="1:9" x14ac:dyDescent="0.25">
      <c r="A78" s="13"/>
      <c r="B78" s="7"/>
      <c r="C78" s="7"/>
      <c r="D78" s="7"/>
      <c r="E78" s="7"/>
      <c r="F78" s="7"/>
      <c r="G78" s="1"/>
      <c r="H78" s="1"/>
      <c r="I78" s="7"/>
    </row>
    <row r="79" spans="1:9" ht="15" customHeight="1" x14ac:dyDescent="0.25">
      <c r="A79" s="15"/>
      <c r="B79" s="15"/>
      <c r="C79" s="15"/>
      <c r="D79" s="15"/>
      <c r="E79" s="15"/>
      <c r="F79" s="15"/>
      <c r="G79" s="7"/>
      <c r="H79" s="7"/>
      <c r="I79" s="7"/>
    </row>
    <row r="80" spans="1:9" ht="15" customHeight="1" x14ac:dyDescent="0.25">
      <c r="A80" s="15"/>
      <c r="B80" s="15"/>
      <c r="C80" s="15"/>
      <c r="D80" s="15"/>
      <c r="E80" s="15"/>
      <c r="F80" s="15"/>
      <c r="G80" s="7"/>
      <c r="H80" s="7"/>
      <c r="I80" s="7"/>
    </row>
    <row r="81" spans="1:8" ht="15" customHeight="1" x14ac:dyDescent="0.25">
      <c r="A81" s="15"/>
      <c r="B81" s="15"/>
      <c r="C81" s="15"/>
      <c r="D81" s="15"/>
      <c r="E81" s="15"/>
      <c r="F81" s="15"/>
      <c r="G81" s="15"/>
      <c r="H81" s="15"/>
    </row>
    <row r="82" spans="1:8" ht="17.25" customHeight="1" x14ac:dyDescent="0.25">
      <c r="A82" s="7"/>
      <c r="B82" s="7"/>
      <c r="C82" s="7"/>
      <c r="D82" s="72"/>
      <c r="E82" s="72"/>
      <c r="F82" s="7"/>
      <c r="G82" s="15"/>
      <c r="H82" s="15"/>
    </row>
    <row r="83" spans="1:8" x14ac:dyDescent="0.25">
      <c r="A83" s="7"/>
      <c r="B83" s="7"/>
      <c r="C83" s="7"/>
      <c r="D83" s="72"/>
      <c r="E83" s="72"/>
      <c r="F83" s="7"/>
      <c r="G83" s="15"/>
      <c r="H83" s="15"/>
    </row>
    <row r="84" spans="1:8" x14ac:dyDescent="0.25">
      <c r="A84" s="7"/>
      <c r="B84" s="7"/>
      <c r="C84" s="7"/>
      <c r="D84" s="7"/>
      <c r="E84" s="7"/>
      <c r="F84" s="7"/>
      <c r="G84" s="7"/>
      <c r="H84" s="7"/>
    </row>
    <row r="85" spans="1:8" ht="15.75" customHeight="1" x14ac:dyDescent="0.25">
      <c r="A85" s="7"/>
      <c r="B85" s="76"/>
      <c r="C85" s="76"/>
      <c r="D85" s="76"/>
      <c r="E85" s="76"/>
      <c r="F85" s="16"/>
      <c r="G85" s="7"/>
    </row>
    <row r="86" spans="1:8" x14ac:dyDescent="0.25">
      <c r="A86" s="7"/>
      <c r="B86" s="74"/>
      <c r="C86" s="74"/>
      <c r="D86" s="73"/>
      <c r="E86" s="73"/>
      <c r="F86" s="3"/>
      <c r="G86" s="7"/>
    </row>
    <row r="87" spans="1:8" x14ac:dyDescent="0.25">
      <c r="A87" s="7"/>
      <c r="B87" s="74"/>
      <c r="C87" s="74"/>
      <c r="D87" s="73"/>
      <c r="E87" s="73"/>
      <c r="F87" s="3"/>
      <c r="G87" s="16"/>
    </row>
    <row r="88" spans="1:8" ht="12" customHeight="1" x14ac:dyDescent="0.25">
      <c r="A88" s="7"/>
      <c r="B88" s="74"/>
      <c r="C88" s="74"/>
      <c r="D88" s="73"/>
      <c r="E88" s="73"/>
      <c r="F88" s="3"/>
      <c r="G88" s="3"/>
    </row>
    <row r="89" spans="1:8" x14ac:dyDescent="0.25">
      <c r="A89" s="7"/>
      <c r="B89" s="72"/>
      <c r="C89" s="72"/>
      <c r="D89" s="73"/>
      <c r="E89" s="73"/>
      <c r="F89" s="3"/>
      <c r="G89" s="3"/>
    </row>
    <row r="90" spans="1:8" ht="36.75" customHeight="1" x14ac:dyDescent="0.25">
      <c r="A90" s="7"/>
      <c r="B90" s="72"/>
      <c r="C90" s="72"/>
      <c r="D90" s="73"/>
      <c r="E90" s="73"/>
      <c r="F90" s="3"/>
      <c r="G90" s="3"/>
    </row>
    <row r="91" spans="1:8" ht="33" customHeight="1" x14ac:dyDescent="0.25">
      <c r="A91" s="7"/>
      <c r="B91" s="72"/>
      <c r="C91" s="72"/>
      <c r="D91" s="73"/>
      <c r="E91" s="73"/>
      <c r="F91" s="3"/>
      <c r="G91" s="3"/>
    </row>
    <row r="92" spans="1:8" ht="14.25" customHeight="1" x14ac:dyDescent="0.25">
      <c r="A92" s="7"/>
      <c r="B92" s="72"/>
      <c r="C92" s="72"/>
      <c r="D92" s="73"/>
      <c r="E92" s="73"/>
      <c r="F92" s="3"/>
      <c r="G92" s="3"/>
    </row>
    <row r="93" spans="1:8" x14ac:dyDescent="0.25">
      <c r="A93" s="7"/>
      <c r="B93" s="72"/>
      <c r="C93" s="72"/>
      <c r="D93" s="73"/>
      <c r="E93" s="73"/>
      <c r="F93" s="3"/>
      <c r="G93" s="3"/>
    </row>
    <row r="94" spans="1:8" ht="16.5" customHeight="1" x14ac:dyDescent="0.25">
      <c r="A94" s="7"/>
      <c r="B94" s="7"/>
      <c r="C94" s="7"/>
      <c r="D94" s="7"/>
      <c r="E94" s="7"/>
      <c r="F94" s="7"/>
      <c r="G94" s="3"/>
    </row>
    <row r="95" spans="1:8" ht="16.5" customHeight="1" x14ac:dyDescent="0.25">
      <c r="A95" s="72"/>
      <c r="B95" s="72"/>
      <c r="C95" s="17"/>
      <c r="D95" s="7"/>
      <c r="E95" s="17"/>
      <c r="F95" s="17"/>
      <c r="G95" s="3"/>
    </row>
    <row r="96" spans="1:8" ht="15" customHeight="1" x14ac:dyDescent="0.25">
      <c r="A96" s="7"/>
      <c r="B96" s="7"/>
      <c r="C96" s="17"/>
      <c r="D96" s="7"/>
      <c r="E96" s="7"/>
      <c r="F96" s="7"/>
      <c r="G96" s="7"/>
    </row>
    <row r="97" spans="1:47" ht="15" customHeight="1" x14ac:dyDescent="0.25">
      <c r="A97" s="74"/>
      <c r="B97" s="74"/>
      <c r="C97" s="75"/>
      <c r="D97" s="75"/>
      <c r="E97" s="7"/>
      <c r="F97" s="7"/>
      <c r="G97" s="7"/>
      <c r="H97" s="7"/>
    </row>
    <row r="98" spans="1:47" x14ac:dyDescent="0.25">
      <c r="A98" s="7"/>
      <c r="B98" s="7"/>
      <c r="C98" s="17"/>
      <c r="D98" s="7"/>
      <c r="E98" s="7"/>
      <c r="F98" s="7"/>
      <c r="G98" s="7"/>
      <c r="H98" s="7"/>
    </row>
    <row r="99" spans="1:47" x14ac:dyDescent="0.25">
      <c r="A99" s="72"/>
      <c r="B99" s="72"/>
      <c r="C99" s="17"/>
      <c r="D99" s="17"/>
      <c r="E99" s="17"/>
      <c r="F99" s="17"/>
      <c r="G99" s="7"/>
      <c r="H99" s="7"/>
    </row>
    <row r="100" spans="1:47" x14ac:dyDescent="0.25">
      <c r="A100" s="7"/>
      <c r="B100" s="7"/>
      <c r="C100" s="17"/>
      <c r="D100" s="17"/>
      <c r="E100" s="17"/>
      <c r="F100" s="17"/>
      <c r="G100" s="7"/>
      <c r="H100" s="7"/>
    </row>
    <row r="101" spans="1:47" ht="17.25" customHeight="1" x14ac:dyDescent="0.25">
      <c r="A101" s="7"/>
      <c r="B101" s="7"/>
      <c r="C101" s="17"/>
      <c r="D101" s="17"/>
      <c r="E101" s="17"/>
      <c r="F101" s="17"/>
      <c r="G101" s="17"/>
      <c r="H101" s="17"/>
    </row>
    <row r="102" spans="1:47" x14ac:dyDescent="0.25">
      <c r="A102" s="7"/>
      <c r="B102" s="7"/>
      <c r="C102" s="17"/>
      <c r="D102" s="17"/>
      <c r="E102" s="17"/>
      <c r="F102" s="17"/>
      <c r="G102" s="17"/>
      <c r="H102" s="1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</row>
    <row r="103" spans="1:47" x14ac:dyDescent="0.25">
      <c r="A103" s="72"/>
      <c r="B103" s="72"/>
      <c r="C103" s="17"/>
      <c r="D103" s="17"/>
      <c r="E103" s="17"/>
      <c r="F103" s="17"/>
      <c r="G103" s="17"/>
      <c r="H103" s="1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</row>
    <row r="104" spans="1:47" x14ac:dyDescent="0.25">
      <c r="A104" s="7"/>
      <c r="B104" s="7"/>
      <c r="C104" s="17"/>
      <c r="D104" s="17"/>
      <c r="E104" s="17"/>
      <c r="F104" s="17"/>
      <c r="G104" s="17"/>
      <c r="H104" s="1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</row>
    <row r="105" spans="1:47" x14ac:dyDescent="0.25">
      <c r="A105" s="7"/>
      <c r="B105" s="7"/>
      <c r="C105" s="17"/>
      <c r="D105" s="17"/>
      <c r="E105" s="17"/>
      <c r="F105" s="17"/>
      <c r="G105" s="17"/>
      <c r="H105" s="1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</row>
    <row r="106" spans="1:47" x14ac:dyDescent="0.25">
      <c r="A106" s="7"/>
      <c r="B106" s="7"/>
      <c r="C106" s="17"/>
      <c r="D106" s="17"/>
      <c r="E106" s="17"/>
      <c r="F106" s="17"/>
      <c r="G106" s="17"/>
      <c r="H106" s="1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</row>
    <row r="107" spans="1:47" x14ac:dyDescent="0.25">
      <c r="A107" s="72"/>
      <c r="B107" s="72"/>
      <c r="C107" s="17"/>
      <c r="D107" s="17"/>
      <c r="E107" s="17"/>
      <c r="F107" s="17"/>
      <c r="G107" s="17"/>
      <c r="H107" s="1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</row>
    <row r="108" spans="1:47" x14ac:dyDescent="0.25">
      <c r="A108" s="72"/>
      <c r="B108" s="72"/>
      <c r="C108" s="17"/>
      <c r="D108" s="17"/>
      <c r="E108" s="17"/>
      <c r="F108" s="17"/>
      <c r="G108" s="17"/>
      <c r="H108" s="1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</row>
    <row r="109" spans="1:47" x14ac:dyDescent="0.25">
      <c r="A109" s="7"/>
      <c r="B109" s="7"/>
      <c r="C109" s="17"/>
      <c r="D109" s="17"/>
      <c r="E109" s="17"/>
      <c r="F109" s="17"/>
      <c r="G109" s="17"/>
      <c r="H109" s="1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</row>
    <row r="110" spans="1:47" x14ac:dyDescent="0.25">
      <c r="A110" s="7"/>
      <c r="B110" s="7"/>
      <c r="C110" s="17"/>
      <c r="D110" s="17"/>
      <c r="E110" s="17"/>
      <c r="F110" s="17"/>
      <c r="G110" s="17"/>
      <c r="H110" s="1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</row>
    <row r="111" spans="1:47" x14ac:dyDescent="0.25">
      <c r="A111" s="7"/>
      <c r="B111" s="7"/>
      <c r="C111" s="7"/>
      <c r="D111" s="7"/>
      <c r="E111" s="7"/>
      <c r="F111" s="7"/>
      <c r="G111" s="17"/>
      <c r="H111" s="1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</row>
    <row r="112" spans="1:47" x14ac:dyDescent="0.25">
      <c r="A112" s="7"/>
      <c r="B112" s="7"/>
      <c r="C112" s="7"/>
      <c r="D112" s="7"/>
      <c r="E112" s="7"/>
      <c r="F112" s="7"/>
      <c r="G112" s="17"/>
      <c r="H112" s="1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</row>
    <row r="113" spans="1:47" x14ac:dyDescent="0.25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</row>
    <row r="114" spans="1:47" x14ac:dyDescent="0.25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</row>
    <row r="115" spans="1:47" x14ac:dyDescent="0.25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</row>
    <row r="116" spans="1:47" x14ac:dyDescent="0.25"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</row>
    <row r="117" spans="1:47" x14ac:dyDescent="0.25"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</row>
    <row r="118" spans="1:47" x14ac:dyDescent="0.25"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</row>
    <row r="119" spans="1:47" x14ac:dyDescent="0.25"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</row>
    <row r="124" spans="1:47" ht="57.75" customHeight="1" x14ac:dyDescent="0.25"/>
    <row r="125" spans="1:47" ht="41.25" customHeight="1" x14ac:dyDescent="0.25"/>
  </sheetData>
  <protectedRanges>
    <protectedRange sqref="B73 E1 AX23:AX25 AX27:AX28 AX30 H27 E36 F62:F63 I1 A24:A26 D30 E19:F20 H22:H24 C18:C20 D17:D20 F24:F25 G25 G37:H42 G59:H62 G31:G33 E17 B28:B29 B40:F40 B38:F38 B51:F54 B45:F48 B57:F60 B2:E2 G53:H56 G47:H50 C28:C33 B5:C14 E5:F15" name="Range2"/>
  </protectedRanges>
  <mergeCells count="58">
    <mergeCell ref="I5:I6"/>
    <mergeCell ref="A1:D2"/>
    <mergeCell ref="G2:H2"/>
    <mergeCell ref="A3:A4"/>
    <mergeCell ref="B3:B4"/>
    <mergeCell ref="D3:D4"/>
    <mergeCell ref="E3:F3"/>
    <mergeCell ref="C3:C4"/>
    <mergeCell ref="A27:F27"/>
    <mergeCell ref="A28:A30"/>
    <mergeCell ref="C28:C30"/>
    <mergeCell ref="E23:E25"/>
    <mergeCell ref="A16:F16"/>
    <mergeCell ref="A17:A21"/>
    <mergeCell ref="A23:A26"/>
    <mergeCell ref="C17:C21"/>
    <mergeCell ref="A22:F22"/>
    <mergeCell ref="C23:C26"/>
    <mergeCell ref="E17:E20"/>
    <mergeCell ref="A50:E50"/>
    <mergeCell ref="A56:B56"/>
    <mergeCell ref="A62:B62"/>
    <mergeCell ref="E62:E63"/>
    <mergeCell ref="E29:F29"/>
    <mergeCell ref="D31:D34"/>
    <mergeCell ref="A64:B64"/>
    <mergeCell ref="A66:B66"/>
    <mergeCell ref="E68:E69"/>
    <mergeCell ref="F68:F69"/>
    <mergeCell ref="A70:B70"/>
    <mergeCell ref="B85:C85"/>
    <mergeCell ref="D85:E85"/>
    <mergeCell ref="B86:C86"/>
    <mergeCell ref="D86:E86"/>
    <mergeCell ref="A72:B72"/>
    <mergeCell ref="D82:E82"/>
    <mergeCell ref="D83:E83"/>
    <mergeCell ref="B89:C89"/>
    <mergeCell ref="D89:E89"/>
    <mergeCell ref="B90:C90"/>
    <mergeCell ref="D90:E90"/>
    <mergeCell ref="B87:C87"/>
    <mergeCell ref="D87:E87"/>
    <mergeCell ref="B88:C88"/>
    <mergeCell ref="D88:E88"/>
    <mergeCell ref="D93:E93"/>
    <mergeCell ref="A95:B95"/>
    <mergeCell ref="A97:B97"/>
    <mergeCell ref="C97:D97"/>
    <mergeCell ref="B91:C91"/>
    <mergeCell ref="D91:E91"/>
    <mergeCell ref="B92:C92"/>
    <mergeCell ref="D92:E92"/>
    <mergeCell ref="A99:B99"/>
    <mergeCell ref="A103:B103"/>
    <mergeCell ref="A107:B107"/>
    <mergeCell ref="A108:B108"/>
    <mergeCell ref="B93:C93"/>
  </mergeCells>
  <printOptions horizontalCentered="1"/>
  <pageMargins left="0.11811023622047245" right="3.937007874015748E-2" top="0.74803149606299213" bottom="0.74803149606299213" header="0.31496062992125984" footer="0.31496062992125984"/>
  <pageSetup paperSize="9" scale="75" fitToHeight="0" orientation="portrait" r:id="rId1"/>
  <headerFooter>
    <oddFooter>&amp;RVER 1.0 dated on 23rd May 24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heck Box 1">
              <controlPr locked="0" defaultSize="0" autoFill="0" autoLine="0" autoPict="0">
                <anchor moveWithCells="1">
                  <from>
                    <xdr:col>1</xdr:col>
                    <xdr:colOff>152400</xdr:colOff>
                    <xdr:row>22</xdr:row>
                    <xdr:rowOff>19050</xdr:rowOff>
                  </from>
                  <to>
                    <xdr:col>1</xdr:col>
                    <xdr:colOff>552450</xdr:colOff>
                    <xdr:row>22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heck Box 2">
              <controlPr locked="0" defaultSize="0" autoFill="0" autoLine="0" autoPict="0">
                <anchor moveWithCells="1">
                  <from>
                    <xdr:col>1</xdr:col>
                    <xdr:colOff>152400</xdr:colOff>
                    <xdr:row>23</xdr:row>
                    <xdr:rowOff>9525</xdr:rowOff>
                  </from>
                  <to>
                    <xdr:col>1</xdr:col>
                    <xdr:colOff>1009650</xdr:colOff>
                    <xdr:row>23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Check Box 3">
              <controlPr locked="0" defaultSize="0" autoFill="0" autoLine="0" autoPict="0">
                <anchor moveWithCells="1">
                  <from>
                    <xdr:col>3</xdr:col>
                    <xdr:colOff>133350</xdr:colOff>
                    <xdr:row>22</xdr:row>
                    <xdr:rowOff>9525</xdr:rowOff>
                  </from>
                  <to>
                    <xdr:col>3</xdr:col>
                    <xdr:colOff>771525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 Box 4">
              <controlPr locked="0" defaultSize="0" autoFill="0" autoLine="0" autoPict="0">
                <anchor moveWithCells="1">
                  <from>
                    <xdr:col>3</xdr:col>
                    <xdr:colOff>142875</xdr:colOff>
                    <xdr:row>23</xdr:row>
                    <xdr:rowOff>9525</xdr:rowOff>
                  </from>
                  <to>
                    <xdr:col>3</xdr:col>
                    <xdr:colOff>704850</xdr:colOff>
                    <xdr:row>23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Check Box 5">
              <controlPr defaultSize="0" print="0" autoFill="0" autoLine="0" autoPict="0" altText="">
                <anchor moveWithCells="1">
                  <from>
                    <xdr:col>1</xdr:col>
                    <xdr:colOff>142875</xdr:colOff>
                    <xdr:row>16</xdr:row>
                    <xdr:rowOff>28575</xdr:rowOff>
                  </from>
                  <to>
                    <xdr:col>1</xdr:col>
                    <xdr:colOff>457200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Check Box 6">
              <controlPr locked="0" defaultSize="0" autoFill="0" autoLine="0" autoPict="0">
                <anchor moveWithCells="1">
                  <from>
                    <xdr:col>1</xdr:col>
                    <xdr:colOff>133350</xdr:colOff>
                    <xdr:row>27</xdr:row>
                    <xdr:rowOff>9525</xdr:rowOff>
                  </from>
                  <to>
                    <xdr:col>1</xdr:col>
                    <xdr:colOff>666750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Check Box 7">
              <controlPr locked="0" defaultSize="0" autoFill="0" autoLine="0" autoPict="0">
                <anchor moveWithCells="1">
                  <from>
                    <xdr:col>5</xdr:col>
                    <xdr:colOff>190500</xdr:colOff>
                    <xdr:row>22</xdr:row>
                    <xdr:rowOff>19050</xdr:rowOff>
                  </from>
                  <to>
                    <xdr:col>5</xdr:col>
                    <xdr:colOff>1000125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Check Box 8">
              <controlPr defaultSize="0" print="0" autoFill="0" autoLine="0" autoPict="0" altText="">
                <anchor moveWithCells="1">
                  <from>
                    <xdr:col>1</xdr:col>
                    <xdr:colOff>142875</xdr:colOff>
                    <xdr:row>17</xdr:row>
                    <xdr:rowOff>0</xdr:rowOff>
                  </from>
                  <to>
                    <xdr:col>1</xdr:col>
                    <xdr:colOff>457200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Check Box 9">
              <controlPr defaultSize="0" print="0" autoFill="0" autoLine="0" autoPict="0" altText="">
                <anchor moveWithCells="1">
                  <from>
                    <xdr:col>1</xdr:col>
                    <xdr:colOff>152400</xdr:colOff>
                    <xdr:row>17</xdr:row>
                    <xdr:rowOff>304800</xdr:rowOff>
                  </from>
                  <to>
                    <xdr:col>1</xdr:col>
                    <xdr:colOff>457200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Check Box 10">
              <controlPr defaultSize="0" print="0" autoFill="0" autoLine="0" autoPict="0" altText="">
                <anchor moveWithCells="1">
                  <from>
                    <xdr:col>1</xdr:col>
                    <xdr:colOff>152400</xdr:colOff>
                    <xdr:row>19</xdr:row>
                    <xdr:rowOff>19050</xdr:rowOff>
                  </from>
                  <to>
                    <xdr:col>1</xdr:col>
                    <xdr:colOff>457200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Check Box 11">
              <controlPr defaultSize="0" autoFill="0" autoLine="0" autoPict="0">
                <anchor moveWithCells="1">
                  <from>
                    <xdr:col>3</xdr:col>
                    <xdr:colOff>104775</xdr:colOff>
                    <xdr:row>17</xdr:row>
                    <xdr:rowOff>19050</xdr:rowOff>
                  </from>
                  <to>
                    <xdr:col>3</xdr:col>
                    <xdr:colOff>361950</xdr:colOff>
                    <xdr:row>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Check Box 12">
              <controlPr defaultSize="0" autoFill="0" autoLine="0" autoPict="0">
                <anchor moveWithCells="1">
                  <from>
                    <xdr:col>3</xdr:col>
                    <xdr:colOff>104775</xdr:colOff>
                    <xdr:row>16</xdr:row>
                    <xdr:rowOff>0</xdr:rowOff>
                  </from>
                  <to>
                    <xdr:col>3</xdr:col>
                    <xdr:colOff>409575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Check Box 13">
              <controlPr defaultSize="0" autoFill="0" autoLine="0" autoPict="0">
                <anchor moveWithCells="1">
                  <from>
                    <xdr:col>3</xdr:col>
                    <xdr:colOff>114300</xdr:colOff>
                    <xdr:row>18</xdr:row>
                    <xdr:rowOff>38100</xdr:rowOff>
                  </from>
                  <to>
                    <xdr:col>3</xdr:col>
                    <xdr:colOff>419100</xdr:colOff>
                    <xdr:row>18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Check Box 14">
              <controlPr defaultSize="0" autoFill="0" autoLine="0" autoPict="0">
                <anchor moveWithCells="1">
                  <from>
                    <xdr:col>3</xdr:col>
                    <xdr:colOff>133350</xdr:colOff>
                    <xdr:row>19</xdr:row>
                    <xdr:rowOff>9525</xdr:rowOff>
                  </from>
                  <to>
                    <xdr:col>3</xdr:col>
                    <xdr:colOff>438150</xdr:colOff>
                    <xdr:row>19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8" name="Check Box 15">
              <controlPr locked="0" defaultSize="0" autoFill="0" autoLine="0" autoPict="0">
                <anchor moveWithCells="1">
                  <from>
                    <xdr:col>1</xdr:col>
                    <xdr:colOff>171450</xdr:colOff>
                    <xdr:row>24</xdr:row>
                    <xdr:rowOff>19050</xdr:rowOff>
                  </from>
                  <to>
                    <xdr:col>1</xdr:col>
                    <xdr:colOff>895350</xdr:colOff>
                    <xdr:row>24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9" name="Check Box 16">
              <controlPr locked="0" defaultSize="0" autoFill="0" autoLine="0" autoPict="0">
                <anchor moveWithCells="1">
                  <from>
                    <xdr:col>3</xdr:col>
                    <xdr:colOff>142875</xdr:colOff>
                    <xdr:row>24</xdr:row>
                    <xdr:rowOff>9525</xdr:rowOff>
                  </from>
                  <to>
                    <xdr:col>3</xdr:col>
                    <xdr:colOff>866775</xdr:colOff>
                    <xdr:row>24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0" name="Check Box 17">
              <controlPr locked="0" defaultSize="0" autoFill="0" autoLine="0" autoPict="0">
                <anchor moveWithCells="1">
                  <from>
                    <xdr:col>1</xdr:col>
                    <xdr:colOff>133350</xdr:colOff>
                    <xdr:row>28</xdr:row>
                    <xdr:rowOff>19050</xdr:rowOff>
                  </from>
                  <to>
                    <xdr:col>1</xdr:col>
                    <xdr:colOff>657225</xdr:colOff>
                    <xdr:row>28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1" name="Check Box 18">
              <controlPr locked="0" defaultSize="0" autoFill="0" autoLine="0" autoPict="0">
                <anchor moveWithCells="1">
                  <from>
                    <xdr:col>5</xdr:col>
                    <xdr:colOff>200025</xdr:colOff>
                    <xdr:row>23</xdr:row>
                    <xdr:rowOff>38100</xdr:rowOff>
                  </from>
                  <to>
                    <xdr:col>5</xdr:col>
                    <xdr:colOff>1171575</xdr:colOff>
                    <xdr:row>23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2" name="Check Box 19">
              <controlPr defaultSize="0" autoFill="0" autoLine="0" autoPict="0" macro="[0]!CheckBox222_Click">
                <anchor moveWithCells="1">
                  <from>
                    <xdr:col>5</xdr:col>
                    <xdr:colOff>123825</xdr:colOff>
                    <xdr:row>16</xdr:row>
                    <xdr:rowOff>47625</xdr:rowOff>
                  </from>
                  <to>
                    <xdr:col>5</xdr:col>
                    <xdr:colOff>504825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3" name="Check Box 20">
              <controlPr defaultSize="0" autoFill="0" autoLine="0" autoPict="0" macro="[0]!CheckBox249_Click">
                <anchor moveWithCells="1">
                  <from>
                    <xdr:col>5</xdr:col>
                    <xdr:colOff>114300</xdr:colOff>
                    <xdr:row>17</xdr:row>
                    <xdr:rowOff>28575</xdr:rowOff>
                  </from>
                  <to>
                    <xdr:col>5</xdr:col>
                    <xdr:colOff>723900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4" name="Check Box 21">
              <controlPr defaultSize="0" autoFill="0" autoLine="0" autoPict="0" macro="[0]!CheckBox250_Click">
                <anchor moveWithCells="1">
                  <from>
                    <xdr:col>5</xdr:col>
                    <xdr:colOff>123825</xdr:colOff>
                    <xdr:row>18</xdr:row>
                    <xdr:rowOff>66675</xdr:rowOff>
                  </from>
                  <to>
                    <xdr:col>5</xdr:col>
                    <xdr:colOff>714375</xdr:colOff>
                    <xdr:row>18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5" name="Check Box 22">
              <controlPr defaultSize="0" autoFill="0" autoLine="0" autoPict="0" macro="[0]!CheckBox283_Click">
                <anchor moveWithCells="1">
                  <from>
                    <xdr:col>3</xdr:col>
                    <xdr:colOff>76200</xdr:colOff>
                    <xdr:row>27</xdr:row>
                    <xdr:rowOff>19050</xdr:rowOff>
                  </from>
                  <to>
                    <xdr:col>3</xdr:col>
                    <xdr:colOff>866775</xdr:colOff>
                    <xdr:row>27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6" name="Check Box 23">
              <controlPr defaultSize="0" autoFill="0" autoLine="0" autoPict="0" macro="[0]!CheckBox285_Click">
                <anchor moveWithCells="1">
                  <from>
                    <xdr:col>3</xdr:col>
                    <xdr:colOff>85725</xdr:colOff>
                    <xdr:row>28</xdr:row>
                    <xdr:rowOff>28575</xdr:rowOff>
                  </from>
                  <to>
                    <xdr:col>3</xdr:col>
                    <xdr:colOff>857250</xdr:colOff>
                    <xdr:row>28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7" name="Check Box 24">
              <controlPr locked="0" defaultSize="0" autoFill="0" autoLine="0" autoPict="0">
                <anchor moveWithCells="1">
                  <from>
                    <xdr:col>4</xdr:col>
                    <xdr:colOff>133350</xdr:colOff>
                    <xdr:row>30</xdr:row>
                    <xdr:rowOff>9525</xdr:rowOff>
                  </from>
                  <to>
                    <xdr:col>4</xdr:col>
                    <xdr:colOff>771525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8" name="Check Box 25">
              <controlPr locked="0" defaultSize="0" autoFill="0" autoLine="0" autoPict="0">
                <anchor moveWithCells="1">
                  <from>
                    <xdr:col>4</xdr:col>
                    <xdr:colOff>142875</xdr:colOff>
                    <xdr:row>31</xdr:row>
                    <xdr:rowOff>9525</xdr:rowOff>
                  </from>
                  <to>
                    <xdr:col>4</xdr:col>
                    <xdr:colOff>704850</xdr:colOff>
                    <xdr:row>31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NOTES</vt:lpstr>
      <vt:lpstr>PR - Final</vt:lpstr>
      <vt:lpstr>'PR - Final'!Print_Area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Imad Surve</dc:creator>
  <cp:lastModifiedBy>J.Senthil Kumar</cp:lastModifiedBy>
  <cp:lastPrinted>2024-05-23T10:26:57Z</cp:lastPrinted>
  <dcterms:created xsi:type="dcterms:W3CDTF">2024-05-18T06:44:28Z</dcterms:created>
  <dcterms:modified xsi:type="dcterms:W3CDTF">2024-05-24T11:49:47Z</dcterms:modified>
</cp:coreProperties>
</file>